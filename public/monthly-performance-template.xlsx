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5360" activeTab="3"/>
  </bookViews>
  <sheets>
    <sheet name="7月新媒体串单" sheetId="1" r:id="rId1"/>
    <sheet name="7月新媒体绩效" sheetId="2" r:id="rId2"/>
    <sheet name="7月微刊明细" sheetId="3" r:id="rId3"/>
    <sheet name="7月公分统计"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<sst xmlns="http://schemas.openxmlformats.org/spreadsheetml/2006/main" count="1723" uniqueCount="694">
  <si>
    <t>新媒体串片单  2026-7-1星期三</t>
  </si>
  <si>
    <t>微信公众号  本周微刊小编：王馨</t>
  </si>
  <si>
    <t>序号</t>
  </si>
  <si>
    <t xml:space="preserve"> 节 目 标 题</t>
  </si>
  <si>
    <t>记者</t>
  </si>
  <si>
    <t>阅读量</t>
  </si>
  <si>
    <t>刚刚帖</t>
  </si>
  <si>
    <t>工分</t>
  </si>
  <si>
    <t>备注</t>
  </si>
  <si>
    <t>凝心聚力跟党走 踔厉奋发新征程 南平市各级各部门组织收听收看庆祝中国共产党成立105周年大会</t>
  </si>
  <si>
    <t>廖俊波式好党员：“花仙”陈文靖</t>
  </si>
  <si>
    <t>2026年6月30日《南平新闻》</t>
  </si>
  <si>
    <t>致敬！他们是“七一勋章”获得者</t>
  </si>
  <si>
    <t>我 是 共 产 党 员</t>
  </si>
  <si>
    <t>小编二创短视频（含制作封面、包框） 本周短视频主班小编：牛文静</t>
  </si>
  <si>
    <t>编辑</t>
  </si>
  <si>
    <t>时长</t>
  </si>
  <si>
    <t>全国“两优一先”表彰对象公布，南平1个集体上榜！</t>
  </si>
  <si>
    <t>牛文静</t>
  </si>
  <si>
    <t>阅读量超3万奖励1C</t>
  </si>
  <si>
    <t>陈来：“第二个结合”传承了朱子“民本思想”——清华大学国学研究院院长 中华朱子学会会长 国际儒学联合会副会长 陈来</t>
  </si>
  <si>
    <t>记者原创短视频（新媒体首发）</t>
  </si>
  <si>
    <t>采编</t>
  </si>
  <si>
    <t>南平市举办2026年建设工程“安全生产月”观摩交流活动</t>
  </si>
  <si>
    <t xml:space="preserve">王晓飞  </t>
  </si>
  <si>
    <t>一百零五载，风华正茂，祝伟大的党，再创辉煌！庆祝中国共产党成立105周年！#中国共产党成立105周年#庆祝七一</t>
  </si>
  <si>
    <t>ai制作：牛文静</t>
  </si>
  <si>
    <t>ai奖励1B</t>
  </si>
  <si>
    <t xml:space="preserve">   值班责编:张瑞君     值班主任： 黎志刚        监审：黄旭辉</t>
  </si>
  <si>
    <t>新媒体串片单  2026-7-2 星期四</t>
  </si>
  <si>
    <r>
      <rPr>
        <sz val="11"/>
        <color theme="1"/>
        <rFont val="宋体"/>
        <charset val="134"/>
        <scheme val="minor"/>
      </rPr>
      <t>“</t>
    </r>
    <r>
      <rPr>
        <sz val="12"/>
        <rFont val="宋体"/>
        <charset val="1"/>
      </rPr>
      <t>不虞政和鸟</t>
    </r>
    <r>
      <rPr>
        <sz val="12"/>
        <rFont val="Arial"/>
        <charset val="1"/>
      </rPr>
      <t>”</t>
    </r>
    <r>
      <rPr>
        <sz val="12"/>
        <rFont val="宋体"/>
        <charset val="1"/>
      </rPr>
      <t>现世丨政和再次发现恐龙向鸟类演化的关键化石</t>
    </r>
  </si>
  <si>
    <t>砥砺初心使命 书写时代答卷</t>
  </si>
  <si>
    <t>2026年7月2日《南平新闻》</t>
  </si>
  <si>
    <t>2026年7月1日《南平新闻》</t>
  </si>
  <si>
    <t>惠民人社丨南平市举办2026年大中专毕业生创业资助项目路演</t>
  </si>
  <si>
    <r>
      <rPr>
        <sz val="11"/>
        <color theme="1"/>
        <rFont val="宋体"/>
        <charset val="134"/>
        <scheme val="minor"/>
      </rPr>
      <t>对标</t>
    </r>
    <r>
      <rPr>
        <sz val="12"/>
        <rFont val="Arial"/>
        <charset val="1"/>
      </rPr>
      <t>16</t>
    </r>
    <r>
      <rPr>
        <sz val="12"/>
        <rFont val="宋体"/>
        <charset val="1"/>
      </rPr>
      <t>字总要求，答好政绩观考卷</t>
    </r>
  </si>
  <si>
    <t>小编二创短视频（含制作封面、包框） 本周短视频主班小编： 周俊</t>
  </si>
  <si>
    <t>认真生活的人都会被看见。一步一载沉淀时光，圣农用长久实干回应每份期待。</t>
  </si>
  <si>
    <t>“不虞政和鸟”现世！政和再次发现恐龙向鸟类演化的关键化石</t>
  </si>
  <si>
    <t xml:space="preserve">王馨  </t>
  </si>
  <si>
    <t>晓富种业与南平队，共拼搏，同成长！</t>
  </si>
  <si>
    <t>策划性短视频2A+2B</t>
  </si>
  <si>
    <t>重庆—武夷山往返直飞航班顺利首航！#南平#航班#</t>
  </si>
  <si>
    <t>郑晖 胡志雄</t>
  </si>
  <si>
    <r>
      <rPr>
        <sz val="12"/>
        <rFont val="宋体"/>
        <charset val="0"/>
      </rPr>
      <t>抖音</t>
    </r>
    <r>
      <rPr>
        <sz val="12"/>
        <rFont val="Verdana"/>
        <charset val="0"/>
      </rPr>
      <t>97733</t>
    </r>
  </si>
  <si>
    <t>阅读量超5万奖励1B</t>
  </si>
  <si>
    <t>筑牢健康防线 “4+N”服务护航幼教园丁健康</t>
  </si>
  <si>
    <t xml:space="preserve">郑晖 </t>
  </si>
  <si>
    <t>新媒体串片单  2026-7-3 星期五</t>
  </si>
  <si>
    <t>1</t>
  </si>
  <si>
    <t>【党旗在一线高高飘扬】“廖俊波式好党员干部”郭家力：一位驻村书记的三年坚守</t>
  </si>
  <si>
    <t>2</t>
  </si>
  <si>
    <t>南平市城市管理局领导走进“中国南平网”  ，谈“深化 ‘三进三促’ 工作机制，构建城市管理进社区新格局”</t>
  </si>
  <si>
    <t>2026年7月3日《南平新闻》</t>
  </si>
  <si>
    <t>3</t>
  </si>
  <si>
    <t>党员干部当修好“三堂课”</t>
  </si>
  <si>
    <r>
      <rPr>
        <b/>
        <sz val="14"/>
        <rFont val="宋体"/>
        <charset val="134"/>
      </rPr>
      <t xml:space="preserve">小编二创短视频（含制作封面、包框） </t>
    </r>
    <r>
      <rPr>
        <b/>
        <sz val="10"/>
        <rFont val="宋体"/>
        <charset val="134"/>
      </rPr>
      <t>本周短视频主班小编：张笑弛</t>
    </r>
  </si>
  <si>
    <t>跟着朱子交朋友，研学悟成长
探秘先贤知己往事，解锁君子相处之道
PBL项目式研学，暑期火热招募中！#大武夷趣研学</t>
  </si>
  <si>
    <t>#福建新闻联播 | 南波万有新家人了！“不虞政和鸟”化石现世，恐龙变鸟的家族故事，让这哥俩给讲明白了！</t>
  </si>
  <si>
    <t>南平市调整2026年度住房公积金缴存基数。#住房公积金#南平</t>
  </si>
  <si>
    <t>阅读量5万奖励1B</t>
  </si>
  <si>
    <t>新媒体串片单  2026-7-4 星期六</t>
  </si>
  <si>
    <r>
      <rPr>
        <b/>
        <sz val="14"/>
        <rFont val="宋体"/>
        <charset val="134"/>
      </rPr>
      <t xml:space="preserve">微信公众号  </t>
    </r>
    <r>
      <rPr>
        <sz val="10"/>
        <rFont val="宋体"/>
        <charset val="134"/>
      </rPr>
      <t>本周微刊小编： 王馨</t>
    </r>
  </si>
  <si>
    <t>循迹邵武 山海相牵｜林景润后裔等鼓岭之友参访邵武</t>
  </si>
  <si>
    <t>【树立和践行正确政绩观 看身边变化】邵武市龙斗村：牢记嘱托“舞龙头” 小山村蝶变振兴样板</t>
  </si>
  <si>
    <t>【树立和践行正确政绩观 看身边变化】一纸交接清单 一条千年文脉</t>
  </si>
  <si>
    <t>2026年7月4日《南平新闻》</t>
  </si>
  <si>
    <t>小编二创短视频（含制作封面、包框） 本周短视频主班小编：张笑弛</t>
  </si>
  <si>
    <t>政和县立足生态资源优势,打造“中国高山蔬菜之乡”品</t>
  </si>
  <si>
    <t xml:space="preserve">   值班责编:     周婷    值班主任： 黎志刚            监审：刘晓强</t>
  </si>
  <si>
    <t>新媒体串片单  2026-7-5星期天</t>
  </si>
  <si>
    <t>微信公众号  本周微刊小编：</t>
  </si>
  <si>
    <t>从尼山到武夷：跨越山海的千年同频</t>
  </si>
  <si>
    <t>上级媒体看南平｜央视省台关注我市庆“七一”、地方风味、传统文化、乡村振兴、南平文旅推介官“南波万”、“不虞政和鸟”等内容</t>
  </si>
  <si>
    <t>2026年7月5日《南平新闻》</t>
  </si>
  <si>
    <t>4</t>
  </si>
  <si>
    <t>【树立和践行正确政绩观 看身边变化】南平：创新“驻小区第一书记”制度  党建引领物业治理</t>
  </si>
  <si>
    <t>5</t>
  </si>
  <si>
    <t>【党旗在一线高高飘扬】“廖俊波式好党员干部”蔡开明：返乡党员守初心 实干赋能乡村振兴</t>
  </si>
  <si>
    <t>小编二创短视频（含制作封面、包框） 本周短视频主班小编：周俊</t>
  </si>
  <si>
    <t>白鹭翩跹过青山，醉美招沙甲#南平#松溪#白鹭</t>
  </si>
  <si>
    <t>徐卓凡</t>
  </si>
  <si>
    <t>中国国家地理特别推荐，到光泽来，漫游秘境、枕山而眠、逐水而行，把日子过成诗~</t>
  </si>
  <si>
    <t>周婷</t>
  </si>
  <si>
    <t xml:space="preserve">   值班责编:张瑞君           值班主任： 黎志刚            监审：刘晓强</t>
  </si>
  <si>
    <t>新媒体串片单  2026-7--6 星期一</t>
  </si>
  <si>
    <t>福建省习近平新时代中国特色社会主义思想研究中心在人民日报发表署名文章</t>
  </si>
  <si>
    <t>【关爱生命 关注健康】日常护眼  别忽视眼眶健康</t>
  </si>
  <si>
    <t>南平：从“一枝独秀”到“全域共进” 持续打造大武夷文化旅游圈</t>
  </si>
  <si>
    <t>闽北党建（2026年7月）</t>
  </si>
  <si>
    <t xml:space="preserve">据说来过光泽崇仁的人心中都藏了一味当归，当有所归，心中有归。光泽崇仁故里，等你归！ #光泽 #崇仁古镇 #崇仁 #古镇 来源：光泽融媒 编辑：周婷  </t>
  </si>
  <si>
    <t xml:space="preserve">周婷  </t>
  </si>
  <si>
    <t xml:space="preserve">这里是我的故乡，我在光泽等你 ! #光泽 #漫游 #国家公园 #中国国家地理 来源：光泽融媒 编辑：周婷  </t>
  </si>
  <si>
    <t xml:space="preserve">在光泽神山体验“疑是银河落九天”意境#白水際瀑布 #光泽 来源：林丽娟 编辑：张笑弛  </t>
  </si>
  <si>
    <t xml:space="preserve">张笑弛  </t>
  </si>
  <si>
    <t xml:space="preserve">打造精品乡村度假样板——光泽"环带"驿站上源驿西坡上源民宿。#旅游#乡村#光泽#民宿 来源：光泽融媒 编辑：胡志雄 </t>
  </si>
  <si>
    <t xml:space="preserve">胡志雄 </t>
  </si>
  <si>
    <t>2.1万</t>
  </si>
  <si>
    <t xml:space="preserve">光泽县崇仁镇，千年古村真正“活”了起来！ #南平 #光泽 #崇仁 #文旅 #2026年南平市文旅经济发展大会 记者：南平台 倪婷婷 吴骁、光泽融媒 编辑：张笑弛  </t>
  </si>
  <si>
    <t>转载</t>
  </si>
  <si>
    <t xml:space="preserve">武夷山国家公园1号风景道，解锁“大武夷”新体验！  记者：南平台 倪婷婷 吴骁、光泽融媒 编辑：吴轲宇  </t>
  </si>
  <si>
    <t xml:space="preserve">吴轲宇  </t>
  </si>
  <si>
    <t>暑期来光泽县圣农博物馆，领略绿色工业的独特魅力！   编辑：张笑弛 一审：周婷 二审：黎志刚  三审：雷杨</t>
  </si>
  <si>
    <t xml:space="preserve">构建大武夷文化旅游圈，南平文旅人气更旺！  编辑：陈慧强  </t>
  </si>
  <si>
    <t xml:space="preserve">陈慧强  </t>
  </si>
  <si>
    <t xml:space="preserve">光泽县玲珑溪谷，焕新升级等你来打卡！  来源：光泽融媒 编辑：吴轲宇  </t>
  </si>
  <si>
    <t xml:space="preserve">以文塑旅，以旅彰文，南平文旅底蕴更深。 #南平 #大武夷山文化旅游圈 #文旅 #2026年南平市文旅经济发展大会 编辑：陈慧强  </t>
  </si>
  <si>
    <t xml:space="preserve">南平建阳：将口镇回潭水仙白驿站#南平#建阳#水仙白驿站 摄制：徐卓凡  </t>
  </si>
  <si>
    <t xml:space="preserve">徐卓凡  </t>
  </si>
  <si>
    <t xml:space="preserve">2026年南平市文旅经济发展大会将于7月7日在光泽县举行  摄制：周俊  </t>
  </si>
  <si>
    <t xml:space="preserve">周俊  </t>
  </si>
  <si>
    <t>1.5万</t>
  </si>
  <si>
    <t xml:space="preserve">荣获亚洲照明设计奖"优异之光"的崇仁古街灯光工程7月6日晚惊艳亮相#南平 #光泽 #崇仁 #文旅 #2026年南平市文旅经济发展大会 摄制：周俊 </t>
  </si>
  <si>
    <t>5.8万</t>
  </si>
  <si>
    <t xml:space="preserve">   值班责编:  周婷       值班主任： 黎志刚            监审：刘晓强</t>
  </si>
  <si>
    <t>新媒体串片单  2026-7--7 星期二</t>
  </si>
  <si>
    <t>微信公众号  本周微刊小编：吴轲宇</t>
  </si>
  <si>
    <t>刚刚 | 2026年南平市文旅经济发展大会开幕</t>
  </si>
  <si>
    <t>2026年7月7日《南平新闻》</t>
  </si>
  <si>
    <t>南平：聚焦大武夷品牌建设 绘就全域发展新答卷</t>
  </si>
  <si>
    <t>别等父母开口——7月这件事，福建子女记得办！</t>
  </si>
  <si>
    <t>初赛7月18日开启！第三届“朱子杯”中华诗词大会亲子组火热开赛！</t>
  </si>
  <si>
    <t>6</t>
  </si>
  <si>
    <t>活动预告丨2026中华文明课堂·系列讲座·第十讲</t>
  </si>
  <si>
    <t xml:space="preserve">今天是七七事变爆发89周年，勿忘国耻，缅怀先烈，吾辈自强。 #卢沟桥事变 #七七事变 #铭记历史 编辑：周婷  </t>
  </si>
  <si>
    <t xml:space="preserve">坚持打造“大武夷”品牌，南平文旅品牌更靓#南平 #大武夷文化旅游圈#文旅 #2026年南平市文旅经济发展大会 编辑：胡志雄 </t>
  </si>
  <si>
    <t xml:space="preserve">着力打造“1+3+3+N”特色文旅产品体系，南平文旅产品更新。#南平 #大武夷文化旅游圈#文旅 #2026年南平市文旅经济发展大会 编辑：胡志雄  </t>
  </si>
  <si>
    <t xml:space="preserve">胡志雄  </t>
  </si>
  <si>
    <t xml:space="preserve">心归山水，静品武夷。世界那么大，唯有武夷，将奇峰、秀水、文脉、茶香交织成诗。编辑：周婷  
</t>
  </si>
  <si>
    <t xml:space="preserve">2026南平市文旅经济发展大会 光泽，上新了！  摄制：徐卓凡 牛文静 </t>
  </si>
  <si>
    <t xml:space="preserve">徐卓凡 牛文静 </t>
  </si>
  <si>
    <t>策划类短视频</t>
  </si>
  <si>
    <t xml:space="preserve">二十四节气里的中医智慧——小暑。南平市人民医院中医的夏至节气的养生建议。摄制：陈仁 徐卓凡  </t>
  </si>
  <si>
    <t xml:space="preserve">陈仁 徐卓凡  </t>
  </si>
  <si>
    <t xml:space="preserve">AI创意奖励 +1B </t>
  </si>
  <si>
    <t xml:space="preserve">7月7日，2026年南平市文旅经济发展大会在光泽举办！摄制：张笑弛 </t>
  </si>
  <si>
    <t xml:space="preserve">张笑弛 </t>
  </si>
  <si>
    <t>2万</t>
  </si>
  <si>
    <t>建阳区委书记：王冲：构建“全域旅游”大格局 绘就乡村振兴新画卷摄制：周俊 吴轲宇</t>
  </si>
  <si>
    <t xml:space="preserve">周俊 吴轲宇 </t>
  </si>
  <si>
    <t>光泽县委书记 王贵:为南平打造世界级旅游目的地贡献光泽力量 摄制：周俊 吴轲宇</t>
  </si>
  <si>
    <t>1.2万</t>
  </si>
  <si>
    <t xml:space="preserve">南平市体育局局长 李晓华：体育已成为激活文旅增长的“一池春水”摄制：周俊 吴轲宇 </t>
  </si>
  <si>
    <t>1.1万</t>
  </si>
  <si>
    <t xml:space="preserve">武夷山市委书记 余洲：推动文旅产业提质增效，加快建设世界知名旅游目的地摄制：周俊 吴轲宇 </t>
  </si>
  <si>
    <t>2026年南平市文旅经济发展大会参观调研重点文旅项目</t>
  </si>
  <si>
    <t xml:space="preserve">   值班责编:    周婷      值班主任： 黎志刚            监审：刘晓强</t>
  </si>
  <si>
    <t>新媒体串片单  2026-7-8星期三</t>
  </si>
  <si>
    <t>惠民人社丨人力资源社会保障部等四部门延续实施失业保险稳岗扩岗政策举措</t>
  </si>
  <si>
    <r>
      <rPr>
        <sz val="12"/>
        <rFont val="宋体"/>
        <charset val="1"/>
      </rPr>
      <t>超强台风</t>
    </r>
    <r>
      <rPr>
        <sz val="12"/>
        <rFont val="Arial"/>
        <charset val="1"/>
      </rPr>
      <t>“</t>
    </r>
    <r>
      <rPr>
        <sz val="12"/>
        <rFont val="宋体"/>
        <charset val="1"/>
      </rPr>
      <t>巴威</t>
    </r>
    <r>
      <rPr>
        <sz val="12"/>
        <rFont val="Arial"/>
        <charset val="1"/>
      </rPr>
      <t>”</t>
    </r>
    <r>
      <rPr>
        <sz val="12"/>
        <rFont val="宋体"/>
        <charset val="1"/>
      </rPr>
      <t>将进入</t>
    </r>
    <r>
      <rPr>
        <sz val="12"/>
        <rFont val="Arial"/>
        <charset val="1"/>
      </rPr>
      <t>48</t>
    </r>
    <r>
      <rPr>
        <sz val="12"/>
        <rFont val="宋体"/>
        <charset val="1"/>
      </rPr>
      <t>小时警戒线！南平有暴雨、大暴雨！</t>
    </r>
  </si>
  <si>
    <t>郑晟</t>
  </si>
  <si>
    <t>台风来袭，这份应急防范指南请收好</t>
  </si>
  <si>
    <t>2026年7月8日《南平新闻》</t>
  </si>
  <si>
    <t>树立正确政绩观，要牢记这两个理念</t>
  </si>
  <si>
    <t xml:space="preserve">超强台风“巴威”最新预报，南平将有大雨到暴雨！  来源：中央气象台、南平气象 编辑：张笑弛 </t>
  </si>
  <si>
    <r>
      <rPr>
        <sz val="11"/>
        <color theme="1"/>
        <rFont val="宋体-简"/>
        <charset val="1"/>
      </rPr>
      <t>抖音</t>
    </r>
    <r>
      <rPr>
        <sz val="11"/>
        <color theme="1"/>
        <rFont val="Arial"/>
        <charset val="1"/>
      </rPr>
      <t>21.6</t>
    </r>
    <r>
      <rPr>
        <sz val="11"/>
        <color theme="1"/>
        <rFont val="宋体-简"/>
        <charset val="1"/>
      </rPr>
      <t>万</t>
    </r>
  </si>
  <si>
    <t>阅读了超过十万奖励1A</t>
  </si>
  <si>
    <t xml:space="preserve">   值班责编:  周婷        值班主任： 黎志刚            监审：刘晓强</t>
  </si>
  <si>
    <t>新媒体串片单  2026-7--9 星期四</t>
  </si>
  <si>
    <t>微信公众号  本周微刊小编： 王馨</t>
  </si>
  <si>
    <r>
      <rPr>
        <sz val="12"/>
        <rFont val="宋体"/>
        <charset val="1"/>
      </rPr>
      <t>台风预警Ⅳ级！</t>
    </r>
    <r>
      <rPr>
        <sz val="12"/>
        <rFont val="Arial"/>
        <charset val="1"/>
      </rPr>
      <t>“</t>
    </r>
    <r>
      <rPr>
        <sz val="12"/>
        <rFont val="宋体"/>
        <charset val="1"/>
      </rPr>
      <t>巴威</t>
    </r>
    <r>
      <rPr>
        <sz val="12"/>
        <rFont val="Arial"/>
        <charset val="1"/>
      </rPr>
      <t>”</t>
    </r>
    <r>
      <rPr>
        <sz val="12"/>
        <rFont val="宋体"/>
        <charset val="1"/>
      </rPr>
      <t>将给南平带来明显风雨影响</t>
    </r>
  </si>
  <si>
    <t>中央政法委发布！南平毛崇星获通报表扬！</t>
  </si>
  <si>
    <t>南平市中考成绩发布时间确定！</t>
  </si>
  <si>
    <t>“巴威”逼近！或正面袭击闽浙！国家防总已启动防汛防台风四级应急响应</t>
  </si>
  <si>
    <t>南平市防指启动防台风Ⅳ级应急响应</t>
  </si>
  <si>
    <t>2026年7月9日《南平新闻》</t>
  </si>
  <si>
    <t>7</t>
  </si>
  <si>
    <t xml:space="preserve">受第9号台风“巴威”影响，7月11～12日南平全市有大雨到暴雨，局部大暴雨。  编辑：周婷  </t>
  </si>
  <si>
    <t>8.3万</t>
  </si>
  <si>
    <t xml:space="preserve">百余名台湾茶盏工匠，走进建阳开展茶盏文化交流活动。 #台湾 #建盏 #建阳 #建盏工艺 #非遗建盏 来源：建阳融媒 林晶 张少杰 编辑：周婷  </t>
  </si>
  <si>
    <t xml:space="preserve">台风“巴威”逼近！南波万防台风安全提醒来了！#台风巴威 #台风 #防范 #避险 #南平 AI制作：张笑弛 周俊 吴轲宇  </t>
  </si>
  <si>
    <t xml:space="preserve">张笑弛 周俊 吴轲宇  </t>
  </si>
  <si>
    <t>1.7万</t>
  </si>
  <si>
    <t xml:space="preserve">AI创意奖励1D +1B </t>
  </si>
  <si>
    <t xml:space="preserve">南平武夷山：星村镇红星驿站#南平#武夷山#红星驿站 摄制：徐卓凡  </t>
  </si>
  <si>
    <t xml:space="preserve">五夫镇万亩荷塘邂逅夏日限定的诗意浪漫#五夫镇#万亩荷塘 摄制：张笑弛 吴轲宇 周俊  </t>
  </si>
  <si>
    <t xml:space="preserve">张笑弛 吴轲宇 周俊 </t>
  </si>
  <si>
    <t xml:space="preserve">   值班责编:  周婷    值班主任： 黎志刚            监审：刘晓强</t>
  </si>
  <si>
    <t>新媒体串片单  2026-7--10 星期五</t>
  </si>
  <si>
    <t>微信公众号  本周微刊小编：王   馨</t>
  </si>
  <si>
    <t>南平市委组织部发出重要通知！</t>
  </si>
  <si>
    <r>
      <rPr>
        <sz val="12"/>
        <rFont val="宋体-简"/>
        <charset val="1"/>
      </rPr>
      <t>南平这些乡镇降雨较大！台风</t>
    </r>
    <r>
      <rPr>
        <sz val="12"/>
        <rFont val="Arial"/>
        <charset val="1"/>
      </rPr>
      <t>“</t>
    </r>
    <r>
      <rPr>
        <sz val="12"/>
        <rFont val="宋体-简"/>
        <charset val="1"/>
      </rPr>
      <t>巴威</t>
    </r>
    <r>
      <rPr>
        <sz val="12"/>
        <rFont val="Arial"/>
        <charset val="1"/>
      </rPr>
      <t>”</t>
    </r>
    <r>
      <rPr>
        <sz val="12"/>
        <rFont val="宋体-简"/>
        <charset val="1"/>
      </rPr>
      <t>将进入</t>
    </r>
    <r>
      <rPr>
        <sz val="12"/>
        <rFont val="Arial"/>
        <charset val="1"/>
      </rPr>
      <t>24</t>
    </r>
    <r>
      <rPr>
        <sz val="12"/>
        <rFont val="宋体-简"/>
        <charset val="1"/>
      </rPr>
      <t>小时警戒线</t>
    </r>
  </si>
  <si>
    <r>
      <rPr>
        <sz val="12"/>
        <rFont val="Arial"/>
        <charset val="1"/>
      </rPr>
      <t>“</t>
    </r>
    <r>
      <rPr>
        <sz val="12"/>
        <rFont val="宋体-简"/>
        <charset val="1"/>
      </rPr>
      <t>巴威</t>
    </r>
    <r>
      <rPr>
        <sz val="12"/>
        <rFont val="Arial"/>
        <charset val="1"/>
      </rPr>
      <t>”</t>
    </r>
    <r>
      <rPr>
        <sz val="12"/>
        <rFont val="宋体-简"/>
        <charset val="1"/>
      </rPr>
      <t>登陆时间有变！省防指提升防台风应急响应至Ⅱ级</t>
    </r>
  </si>
  <si>
    <r>
      <rPr>
        <sz val="12"/>
        <rFont val="宋体"/>
        <charset val="1"/>
      </rPr>
      <t>今日</t>
    </r>
    <r>
      <rPr>
        <sz val="12"/>
        <rFont val="Arial"/>
        <charset val="1"/>
      </rPr>
      <t>18</t>
    </r>
    <r>
      <rPr>
        <sz val="12"/>
        <rFont val="宋体"/>
        <charset val="1"/>
      </rPr>
      <t>时起，南平市所有</t>
    </r>
    <r>
      <rPr>
        <sz val="12"/>
        <rFont val="Arial"/>
        <charset val="1"/>
      </rPr>
      <t>A</t>
    </r>
    <r>
      <rPr>
        <sz val="12"/>
        <rFont val="宋体"/>
        <charset val="1"/>
      </rPr>
      <t>级景区临时关闭！</t>
    </r>
  </si>
  <si>
    <t>南平市防指提升防台风应急响应至Ⅲ级</t>
  </si>
  <si>
    <t>防御台风“巴威” | 致全市人民的一封信</t>
  </si>
  <si>
    <t>2026年秋季延平辖区初中招生方案出炉！</t>
  </si>
  <si>
    <t>2026年秋季延平辖区小学招生方案出炉！</t>
  </si>
  <si>
    <t>知识科普 | 高海拔山区土木房屋抗台风暴雨应急预防常识</t>
  </si>
  <si>
    <t>2026年7月10日《南平新闻》</t>
  </si>
  <si>
    <t>省委常委会召开扩大会议</t>
  </si>
  <si>
    <t>如何用好政绩考核“指挥棒”？</t>
  </si>
  <si>
    <t>小编二创短视频（含制作封面、包框） 本周短视频主班小编： 张笑弛</t>
  </si>
  <si>
    <t xml:space="preserve">防御台风“巴威”《致全市人民的一封信》#台风#巴威#安全 编辑：张瑞君 </t>
  </si>
  <si>
    <t xml:space="preserve">张瑞君 </t>
  </si>
  <si>
    <t>3.8万</t>
  </si>
  <si>
    <t xml:space="preserve">南平市防指于7月10日8时提升防台风应急响应至Ⅲ级！  来源：南平市人民政府防汛抗旱指挥部 编辑：张笑弛 </t>
  </si>
  <si>
    <t xml:space="preserve">10.2万 </t>
  </si>
  <si>
    <t>阅读量超10万奖励一个A</t>
  </si>
  <si>
    <t xml:space="preserve">#防御台风“巴威” 建阳区城管部门排查户外安全隐患！ #南平 #建阳 #台风 #巴威 来源：建阳融媒 编辑：张笑弛 </t>
  </si>
  <si>
    <t>3.5万</t>
  </si>
  <si>
    <t xml:space="preserve">台风“巴威”来袭，南平市民请提前防范！ #南平 #建阳 #台风 #巴威 #台风巴威 编辑：张笑弛  
</t>
  </si>
  <si>
    <t>5.5万</t>
  </si>
  <si>
    <t xml:space="preserve">应对台风“巴威”来袭，邵武市打响早稻抢收“保卫战”！ #南平 #邵武 #早稻 #台风 #巴威 来源：邵武融媒 朱振山 练晓娟 编辑：张笑弛  </t>
  </si>
  <si>
    <t xml:space="preserve">台风“巴威”来临之际，浦城县水北街镇快速排查台风隐患，稳妥转移涉险群众  来源：南平台 蒋超 陈仁 浦城融媒 编辑：周俊  </t>
  </si>
  <si>
    <t xml:space="preserve">周俊 </t>
  </si>
  <si>
    <t xml:space="preserve">延平拆除高空隐患广告牌，筑牢防台屏障。 #防御台风#巴威 #台风 #安全 来源：延平融媒：赵金后 董捷 编辑：张笑弛  </t>
  </si>
  <si>
    <t xml:space="preserve">   值班责编:   周婷     值班主任： 黎志刚            监审：刘晓强</t>
  </si>
  <si>
    <t>新媒体串片单  2026-7--11星期六</t>
  </si>
  <si>
    <r>
      <rPr>
        <sz val="12"/>
        <rFont val="宋体"/>
        <charset val="1"/>
      </rPr>
      <t>南平发布</t>
    </r>
    <r>
      <rPr>
        <sz val="12"/>
        <rFont val="Arial"/>
        <charset val="1"/>
      </rPr>
      <t>“</t>
    </r>
    <r>
      <rPr>
        <sz val="12"/>
        <rFont val="宋体"/>
        <charset val="1"/>
      </rPr>
      <t>台风</t>
    </r>
    <r>
      <rPr>
        <sz val="12"/>
        <rFont val="Arial"/>
        <charset val="1"/>
      </rPr>
      <t>+</t>
    </r>
    <r>
      <rPr>
        <sz val="12"/>
        <rFont val="宋体"/>
        <charset val="1"/>
      </rPr>
      <t>暴雨</t>
    </r>
    <r>
      <rPr>
        <sz val="12"/>
        <rFont val="Arial"/>
        <charset val="1"/>
      </rPr>
      <t>”</t>
    </r>
    <r>
      <rPr>
        <sz val="12"/>
        <rFont val="宋体"/>
        <charset val="1"/>
      </rPr>
      <t>双预警！警惕次生灾害！</t>
    </r>
  </si>
  <si>
    <t xml:space="preserve"> </t>
  </si>
  <si>
    <r>
      <rPr>
        <sz val="12"/>
        <rFont val="Arial"/>
        <charset val="1"/>
      </rPr>
      <t>“</t>
    </r>
    <r>
      <rPr>
        <sz val="12"/>
        <rFont val="宋体"/>
        <charset val="1"/>
      </rPr>
      <t>巴威</t>
    </r>
    <r>
      <rPr>
        <sz val="12"/>
        <rFont val="Arial"/>
        <charset val="1"/>
      </rPr>
      <t>”</t>
    </r>
    <r>
      <rPr>
        <sz val="12"/>
        <rFont val="宋体"/>
        <charset val="1"/>
      </rPr>
      <t>登陆时间和地点有变！对南平影响不可小觑</t>
    </r>
  </si>
  <si>
    <t>南平市防指提升防台风(暴雨)应急响应至II级</t>
  </si>
  <si>
    <t>“巴威”登陆地点有变！中央气象台发布今年首个暴雨红色预警</t>
  </si>
  <si>
    <t>警惕！南平这些区域可能出现山洪灾害风险</t>
  </si>
  <si>
    <t>“巴威”再度增强为强台风级！最新路径→</t>
  </si>
  <si>
    <t>2026年7月11日《南平新闻》</t>
  </si>
  <si>
    <t>8</t>
  </si>
  <si>
    <t>台风“巴威”来袭！一文看懂不同等级台风破坏力有多强</t>
  </si>
  <si>
    <t xml:space="preserve">什么是狭管效应？有什么危害？南波万告诉你！  AI制作：张笑弛 吴轲宇  </t>
  </si>
  <si>
    <t xml:space="preserve">张笑弛 吴轲宇  </t>
  </si>
  <si>
    <t xml:space="preserve">AI创作奖励1D+1B </t>
  </si>
  <si>
    <t xml:space="preserve">一个视频让你知道台风等级#南平#台风#“巴威” 素材来源网络 编辑：徐卓凡  </t>
  </si>
  <si>
    <t>松溪干部下沉一线，重点摸排独居老人等，一对一明确看护责任人。   来源：松溪融媒 王德锋 蔡廷梦 编辑：张笑驰</t>
  </si>
  <si>
    <t>3.2万</t>
  </si>
  <si>
    <t xml:space="preserve">一个视频带你看懂台风的恐怖威力！   来源：素材来源于网络 编辑：张笑弛  </t>
  </si>
  <si>
    <t>5万</t>
  </si>
  <si>
    <t>市领导任务 基础绩效1A+阅读量超5万奖励1B</t>
  </si>
  <si>
    <t xml:space="preserve">南平发布“台风+暴雨”双预警！全市有大雨到暴雨，部分乡镇大暴雨！   来源：南平气象 编辑：张笑弛 
</t>
  </si>
  <si>
    <t>3.3万</t>
  </si>
  <si>
    <t xml:space="preserve">政和县积极筑牢台风“巴威”防御屏障#南平 #政和·#天气 #台风 #暴雨 来源：政和融媒 余长青 陈振华 祖之晗 编辑：周俊 
</t>
  </si>
  <si>
    <t xml:space="preserve">南波万提醒您：台风防范不松懈，关注预警，安全第一！ #南平 #南波万 #气象 #台风 #巴威 AI制作：张笑弛 吴轲宇 周俊  
</t>
  </si>
  <si>
    <t xml:space="preserve">张笑弛 吴轲宇 周俊  </t>
  </si>
  <si>
    <t xml:space="preserve">松溪县住建局迅速启动台风防御工作，开展户外设施安全隐患专项整治行动，全方位排查消除安全风险  来源： 松溪融媒 董方羿 范鑫琳 编辑：周婷  </t>
  </si>
  <si>
    <t xml:space="preserve">城市内涝避险指南#极端天气 #台风 #巴威 来源：国家应急广播  </t>
  </si>
  <si>
    <t>张瑞君</t>
  </si>
  <si>
    <t xml:space="preserve">山洪跑不过，更拦不住，唯一能做的就是远离它。哪些地方容易发生山洪？当山洪来袭该如何自救避险？快来学习 #极端天气 #台风 #巴威 来源：浙江水利 编辑：张瑞君  </t>
  </si>
  <si>
    <t xml:space="preserve">松溪县住建局迅速启动台风防御工作，开展户外设施安全隐患专项整治行动，全方位排查消除安全风险。  来源： 松溪融媒 董方羿 范鑫琳 编辑：周婷  </t>
  </si>
  <si>
    <t xml:space="preserve">#防御台风“巴威” 福建高速南平公司联动多部门，筑牢高速公路安全保畅防线！  来源：福建高速南平公司 编辑：张笑弛  </t>
  </si>
  <si>
    <t>1万</t>
  </si>
  <si>
    <t xml:space="preserve">武夷山月亮湾景点，星村镇村干部劝导游客返程 #星村 #武夷山 #台风 #安全 #环带 来源：武夷山融媒 徐超 林至含 编辑：周婷  </t>
  </si>
  <si>
    <t xml:space="preserve">狂风掀屋，暴雨吞路，台风来临切勿外出。一个视频带你看懂台风的恐怖威力！#台风 #天气 #气象 来源：素材来源于网络 编辑： 徐卓凡 张笑弛  
</t>
  </si>
  <si>
    <t xml:space="preserve">徐卓凡 张笑弛  </t>
  </si>
  <si>
    <t xml:space="preserve">市领导任务 基础绩效1A  </t>
  </si>
  <si>
    <t xml:space="preserve">#防御台风“巴威” 政和县澄源乡重点人群已全部转移至“幸福里”社区集中避灾安置点。风雨有守护，安置有温度！  记者：南平台 危义铭、政和融媒 陈振华 编辑：张笑弛  </t>
  </si>
  <si>
    <t>1.4万</t>
  </si>
  <si>
    <t xml:space="preserve">南平全力做好防范台风“巴威”各项准备工作#南平 #天气 #台风 #暴雨#巴威 来源：南平台 龚启涛 编辑：周俊 </t>
  </si>
  <si>
    <t xml:space="preserve">南平各地安置保障周全 群众安心避险#南平#台风#“巴威”台风#群众安置 来源：松溪融媒 建阳融媒 编辑：徐卓凡  </t>
  </si>
  <si>
    <t xml:space="preserve">   值班责编:   周婷   值班主任： 黎志刚            监审： 刘晓强</t>
  </si>
  <si>
    <t>新媒体串片单  2026-7--12 星期日</t>
  </si>
  <si>
    <t>速查！南平市2026年中考成绩已公布</t>
  </si>
  <si>
    <t>南平市2026年中考招生最低录取控制线公布</t>
  </si>
  <si>
    <r>
      <rPr>
        <sz val="12"/>
        <rFont val="宋体"/>
        <charset val="1"/>
      </rPr>
      <t>台风</t>
    </r>
    <r>
      <rPr>
        <sz val="12"/>
        <rFont val="Arial"/>
        <charset val="1"/>
      </rPr>
      <t>“</t>
    </r>
    <r>
      <rPr>
        <sz val="12"/>
        <rFont val="宋体"/>
        <charset val="1"/>
      </rPr>
      <t>巴威</t>
    </r>
    <r>
      <rPr>
        <sz val="12"/>
        <rFont val="Arial"/>
        <charset val="1"/>
      </rPr>
      <t>”40</t>
    </r>
    <r>
      <rPr>
        <sz val="12"/>
        <rFont val="宋体"/>
        <charset val="1"/>
      </rPr>
      <t>分钟完成二次登陆！向这个方向移动！</t>
    </r>
  </si>
  <si>
    <t>南平最新暴雨预警！这些乡镇要特别注意！</t>
  </si>
  <si>
    <t>暴雨持续！南平继续发布山洪灾害风险预警！</t>
  </si>
  <si>
    <t>福建省防指终止防台风应急响应</t>
  </si>
  <si>
    <t>南平市防指调整防台风（暴雨）应急响应为IV级</t>
  </si>
  <si>
    <t>上级媒体看南平｜央视省台关注我市防汛防台风、“幸福里”社区、乡村振兴等内容</t>
  </si>
  <si>
    <t>【学习运用“千万工程”经验】南平：坚持党建引领 护航乡村振兴</t>
  </si>
  <si>
    <t>2026年7月12日《南平新闻》</t>
  </si>
  <si>
    <t>干部24小时在线，风雨之中皆是暖意</t>
  </si>
  <si>
    <t>夜色中的双向温暖：群众全力配合，干部彻夜在岗</t>
  </si>
  <si>
    <t xml:space="preserve">“巴威过境” 台风夜的坚守#南平#台风#“巴威”台风 记者：蒋超 陈仁 危义铭 寿洪青 编辑：徐卓凡 周俊 </t>
  </si>
  <si>
    <t xml:space="preserve">徐卓凡 周俊 </t>
  </si>
  <si>
    <t>1.6万</t>
  </si>
  <si>
    <t xml:space="preserve">南平市民请注意，台风走远≠雨停，仍需防范强降水引发的次生灾害！ #南平 #气象 #天气 #台风 #巴威 来源：南平气象 编辑：张笑弛  </t>
  </si>
  <si>
    <t>10.5万</t>
  </si>
  <si>
    <t>阅读量10万奖励1A</t>
  </si>
  <si>
    <t xml:space="preserve">速查！南平市2026年中考成绩已公布！ #南平 #中考 #中招 #出分 #考生 编辑：张笑弛  </t>
  </si>
  <si>
    <t>张笑弛</t>
  </si>
  <si>
    <t>抖音3.7万</t>
  </si>
  <si>
    <t xml:space="preserve">台风“巴威”中心离开福建，南平仍降雨，有局部大暴雨，请有关部门继续善始善终做好各项防御工作。 #安全 #防范 #台风 #暴雨 来源：福建预警发布、福建省防指 编辑：周婷  </t>
  </si>
  <si>
    <t xml:space="preserve">邵武市和平镇进贤村：一方文化桩，一名特派员，一域新风气！ #南平 #邵武 #进贤 #文化特派员 #千万工程 记者：南平台 黎志刚 龚启涛，邵武融媒 丁建军 编辑：张笑弛 </t>
  </si>
  <si>
    <t xml:space="preserve">   值班责编:  周婷             值班主任： 黎志刚            监审：刘晓强</t>
  </si>
  <si>
    <t>新媒体串片单  2026-7--13星期一</t>
  </si>
  <si>
    <t>南平·中意文化交流馆开馆！</t>
  </si>
  <si>
    <t>福建省防指启动防汛Ⅳ级应急响应</t>
  </si>
  <si>
    <t>【关爱生命 关注健康】消化内镜中心焕新升级 精准揪出消化道早癌</t>
  </si>
  <si>
    <t>【学习运用“千万工程”经验】南平：坚持塑形铸魂 建设和美乡村</t>
  </si>
  <si>
    <t>2026年7月13日《南平新闻》</t>
  </si>
  <si>
    <t>南平解除暴雨预警并终止防台风（暴雨）应急响应</t>
  </si>
  <si>
    <t>《福建日报》头版头条：南平邵武乡村振兴三年蝶变</t>
  </si>
  <si>
    <t>《福建新闻联播》头条关注｜邵武坚持党建引领 解锁“共富”密码</t>
  </si>
  <si>
    <t>活动预告丨2026中华文明讲坛·社会观·系列讲座·第六讲</t>
  </si>
  <si>
    <t xml:space="preserve">小编二创短视频（含制作封面、包框） 本周短视频主班小编： </t>
  </si>
  <si>
    <t xml:space="preserve">南平：盘活闲置资源，生态变现增收，村企多方共赢#南平 #延平 #农村资源产权证 #千万工程 记者：南平台 包剑武 延平融媒 赵金后 李筱悦 顺昌融媒 编辑：吴轲宇 </t>
  </si>
  <si>
    <t xml:space="preserve">吴轲宇 </t>
  </si>
  <si>
    <t xml:space="preserve">浦城县黄毕村：一株芝带富一方人，好生态育出万家富。#南平 #浦城 #灵芝 #党建引领 #千万工程 来源：浦城融媒 编辑：吴轲宇  </t>
  </si>
  <si>
    <t xml:space="preserve">邵武市龙斗村：党建引领做龙头， “五合一”模式兴乡村，小山村蝶变小康示范村#南平 #邵武 #龙斗 #党建引领 #千万工程 记者：南平台 吴骁 邵武融媒 丁建军 熊丹萍 编辑：吴轲宇  </t>
  </si>
  <si>
    <t xml:space="preserve">南平·中意文化交流馆在武夷山市月映武夷广场揭牌运营！ 编辑：张笑弛  </t>
  </si>
  <si>
    <t xml:space="preserve">党建体检把脉乡村，盘活资源引青年返乡，昔日薄弱村变身文旅明星村  记者：南平台 伍道微 周俊 政和融媒 余长青 编辑：周俊 </t>
  </si>
  <si>
    <t xml:space="preserve">#邵武世遗1号风景道 芜窟滨水营地#南平 #邵武 来源：刘国志 编辑：周俊  </t>
  </si>
  <si>
    <t xml:space="preserve">专家陪伴式规划，跨镇资源抱团发展，邵武市大埠岗镇打造全省城乡融合示范标杆！ #南平 #邵武 #大埠岗 #城乡融合 #千万工程 记者：南平台 黎志刚 龚启涛 </t>
  </si>
  <si>
    <t xml:space="preserve">黎志刚 龚启涛 </t>
  </si>
  <si>
    <t xml:space="preserve">南平市学习运用“千万工程”经验加快推进乡村全面振兴现场会将于7月14日在邵武市举行#南平 #邵武 #千万工程 摄制：周俊 </t>
  </si>
  <si>
    <t xml:space="preserve">南平学习“千万工程”经验，解锁共富新密码。 #南平 #邵武#千万工程 摄制：周婷 胡志雄 </t>
  </si>
  <si>
    <t xml:space="preserve">周婷 胡志雄 </t>
  </si>
  <si>
    <t>策划类短视频2A+2B</t>
  </si>
  <si>
    <t xml:space="preserve">7月13日，南平市深入践行大农业观大食物观成果展在邵武举行！   摄制：张笑弛 </t>
  </si>
  <si>
    <t xml:space="preserve">   值班责编:    周婷        值班主任： 黎志刚            监审：王小川</t>
  </si>
  <si>
    <t>新媒体串片单  2026-7--14星期二</t>
  </si>
  <si>
    <r>
      <rPr>
        <b/>
        <sz val="14"/>
        <rFont val="宋体"/>
        <charset val="134"/>
      </rPr>
      <t xml:space="preserve">微信公众号  </t>
    </r>
    <r>
      <rPr>
        <sz val="10"/>
        <rFont val="宋体"/>
        <charset val="134"/>
      </rPr>
      <t>本周微刊小编：王馨</t>
    </r>
  </si>
  <si>
    <t>首发在即！武夷山国家公园主题观光列车全新启程！</t>
  </si>
  <si>
    <t>南平再添科技荣光！浦城一中校友吴怀春教授获国家科技进步奖一等奖</t>
  </si>
  <si>
    <t>明天开幕！延平这场两岸盛会，等你来！</t>
  </si>
  <si>
    <t>南平：以“千万工程”经验绘就和美乡村“实景图”</t>
  </si>
  <si>
    <t>小编二创短视频（含制作封面、包框） 本周短视频主班小编：吴轲宇</t>
  </si>
  <si>
    <t xml:space="preserve">阳光征兵，你我同行。 来源：南平市人民政府征兵办公室 编辑：吴轲宇  </t>
  </si>
  <si>
    <t>吴轲宇</t>
  </si>
  <si>
    <t xml:space="preserve">农文旅融合新答卷：大埠岗，大步向前方！ 摄制：陈晓强 梁斌 </t>
  </si>
  <si>
    <t xml:space="preserve">陈晓强 梁斌 </t>
  </si>
  <si>
    <t xml:space="preserve">7月14日，南平市学习运用“千万工程”经验加快推进乡村全面振兴现场会在邵武举行，参会人员赴调研点考察。  摄制：张笑弛  </t>
  </si>
  <si>
    <t>3万</t>
  </si>
  <si>
    <t>2026年南平市学习运用“千万工程”经验加快推进乡村全面振兴现场会7月14日在邵武召开</t>
  </si>
  <si>
    <t>周俊</t>
  </si>
  <si>
    <t xml:space="preserve">   值班责编:    张瑞君        值班主任： 黎志刚            监审：王小川</t>
  </si>
  <si>
    <t>新媒体串片单  2026-7--15星期二</t>
  </si>
  <si>
    <t>南平市水利局领导走进“中国南平网”，谈“创新建立巡河交水制，打通河湖管护的‘最后一公里’”</t>
  </si>
  <si>
    <t>【树立和践行正确政绩观 看身边变化】南平：擦亮“为民服务”底色 构建数智赋能就业新生态</t>
  </si>
  <si>
    <t>2026年7月14日《南平新闻》</t>
  </si>
  <si>
    <t>2026年7月15日《南平新闻》</t>
  </si>
  <si>
    <t>第九届鲁迅文学奖揭晓！福建创历史佳绩</t>
  </si>
  <si>
    <t>【学习运用“千万工程”经验】南平：坚持产业强基 推动富民强村</t>
  </si>
  <si>
    <t>第十八届海峡论坛两岸“延平王”郑成功文化交流活动启幕</t>
  </si>
  <si>
    <r>
      <rPr>
        <sz val="11"/>
        <color rgb="FF1A1B1C"/>
        <rFont val="宋体"/>
        <charset val="134"/>
        <scheme val="minor"/>
      </rPr>
      <t>直播七天！蒙曼带您探源万里茶道起点、</t>
    </r>
    <r>
      <rPr>
        <sz val="12"/>
        <rFont val="Arial"/>
        <charset val="1"/>
      </rPr>
      <t>“</t>
    </r>
    <r>
      <rPr>
        <sz val="12"/>
        <rFont val="宋体"/>
        <charset val="1"/>
      </rPr>
      <t>云</t>
    </r>
    <r>
      <rPr>
        <sz val="12"/>
        <rFont val="Arial"/>
        <charset val="1"/>
      </rPr>
      <t>”</t>
    </r>
    <r>
      <rPr>
        <sz val="12"/>
        <rFont val="宋体"/>
        <charset val="1"/>
      </rPr>
      <t>游大武夷</t>
    </r>
  </si>
  <si>
    <t>7月9日至7月15日，2026年全国U23国际式摔跤锦标赛在南平市火热比拼!#南平#摔跤</t>
  </si>
  <si>
    <t>南平一中廖佳敏收到国防科技大学录取通知书</t>
  </si>
  <si>
    <t>余华尊</t>
  </si>
  <si>
    <r>
      <rPr>
        <sz val="11"/>
        <color rgb="FF1A1B1C"/>
        <rFont val="宋体"/>
        <charset val="134"/>
        <scheme val="minor"/>
      </rPr>
      <t>抖音</t>
    </r>
    <r>
      <rPr>
        <sz val="12"/>
        <rFont val="Verdana"/>
        <charset val="0"/>
      </rPr>
      <t>6115675</t>
    </r>
  </si>
  <si>
    <t>阅读超百万奖励2A</t>
  </si>
  <si>
    <t>第十八届海峡论坛・两岸 “延平王” 郑成功文化交流活动在延平区启幕</t>
  </si>
  <si>
    <t xml:space="preserve">   值班责编:张瑞君             值班主任： 黎志刚            监审：王小川</t>
  </si>
  <si>
    <t>新媒体串片单  2026-7-16星期四</t>
  </si>
  <si>
    <r>
      <rPr>
        <b/>
        <sz val="14"/>
        <color theme="1"/>
        <rFont val="宋体"/>
        <charset val="134"/>
      </rPr>
      <t xml:space="preserve">微信公众号  </t>
    </r>
    <r>
      <rPr>
        <sz val="10"/>
        <color theme="1"/>
        <rFont val="宋体"/>
        <charset val="134"/>
      </rPr>
      <t>本周微刊小编：王馨</t>
    </r>
  </si>
  <si>
    <t>南平人接接接！延平姐妹花双双考上国防科大</t>
  </si>
  <si>
    <t>2026年7月16日《南平新闻》</t>
  </si>
  <si>
    <t>【学习运用“千万工程”经验】南平：坚持改革创新  激发乡村活力</t>
  </si>
  <si>
    <t>央媒看福建 | 光明日报整版聚焦福建教育科技人才一体发展</t>
  </si>
  <si>
    <t>惠民人社丨建阳区举办“百日服务助力就业嬴未来”专场招聘活动</t>
  </si>
  <si>
    <t>建阳水吉：“三支队伍”下沉 助力杂交水稻制种插秧</t>
  </si>
  <si>
    <t xml:space="preserve">泪目！一封感谢信，浓浓闽疆情#福建援疆#闽木同心#援疆医患情 </t>
  </si>
  <si>
    <t>阳光征兵，你我同行 第二辑：体检政考</t>
  </si>
  <si>
    <t>南平队集训备战“闽超”，7月18日对决龙岩队!#南平#闽超</t>
  </si>
  <si>
    <r>
      <rPr>
        <sz val="12"/>
        <rFont val="宋体"/>
        <charset val="0"/>
      </rPr>
      <t>阅读</t>
    </r>
    <r>
      <rPr>
        <sz val="12"/>
        <rFont val="Verdana"/>
        <charset val="0"/>
      </rPr>
      <t>30732</t>
    </r>
  </si>
  <si>
    <t>当南波万用游戏的方式打开浦城#诗画浦城#浦城文旅#南波万</t>
  </si>
  <si>
    <t>两百余名摔跤健儿齐聚南平集训#南平#摔跤</t>
  </si>
  <si>
    <t>【心归山水间 武夷百村游】延平赤门村：于山野童趣与田园烟火间，找到身心归处的治愈诗篇。</t>
  </si>
  <si>
    <t>周婷  牛文静</t>
  </si>
  <si>
    <t>项目</t>
  </si>
  <si>
    <t>7月16日，福建省第八届中华经典诵读大赛现场决赛启动仪式在南平举行。</t>
  </si>
  <si>
    <t>胡志雄 吴轲宇</t>
  </si>
  <si>
    <t>新媒体串片单  2026-7-17星期五</t>
  </si>
  <si>
    <t>南平市公安局领导走进“中国南平网”，谈“靶向治理停车难 精细服务大民生”</t>
  </si>
  <si>
    <t>2026-2027学年南平市中小学（幼儿园）开学时间安排出炉</t>
  </si>
  <si>
    <t>南平市自然资源局领导走进“中国南平网”，谈“深耕全域土地综合整治激活闽北乡村发展新空间”</t>
  </si>
  <si>
    <t>绿茵赴约！闽超南平队抵达长汀，南龙双向互动升温</t>
  </si>
  <si>
    <t>闽超南平队：用拼搏赢得每一份尊重</t>
  </si>
  <si>
    <t>【学习运用“千万工程”经验】南平：坚持城乡统筹 推进融合发展</t>
  </si>
  <si>
    <t>兄弟之战｜7月18日，南平vs龙岩，看一条铁路串起的山城情谊</t>
  </si>
  <si>
    <t>全省安全生产隐患大排查大整治工作部署推进会召开</t>
  </si>
  <si>
    <t>7月18日，“闽超”龙岩主场迎战南平！观赛出行指南→</t>
  </si>
  <si>
    <t>武夷探源之旅将走进邵武，寻访古镇古塔，邂逅竹韵新生</t>
  </si>
  <si>
    <t>解开“政绩焦虑”的突破口在哪里？</t>
  </si>
  <si>
    <t>“龙”重登场 “南”得一起！山水CP之战不止于球场</t>
  </si>
  <si>
    <t>央媒看福建丨人民日报整版聚焦闽宁协作</t>
  </si>
  <si>
    <t>山水生态+千年古韵！18日-19日，蒙曼将带您解锁光泽特色文旅新图景~</t>
  </si>
  <si>
    <t>第十九届朱子之路研习营 首站厦门同安集结#南平#朱子之路</t>
  </si>
  <si>
    <t>曼行万里茶道武夷探源之旅 择高处立 向宽处行</t>
  </si>
  <si>
    <t>曼行万里 茶道探源之旅。蒙曼老师带你重走万里茶道</t>
  </si>
  <si>
    <t>阳光征兵，你我同行 第三辑：役前教育</t>
  </si>
  <si>
    <t>“闽超”常规赛最后一轮，龙岩队主教练赵轶晨表示：南平队焕然一新，正在越来越好。</t>
  </si>
  <si>
    <r>
      <rPr>
        <sz val="12"/>
        <rFont val="宋体"/>
        <charset val="0"/>
      </rPr>
      <t>抖音</t>
    </r>
    <r>
      <rPr>
        <sz val="12"/>
        <rFont val="Verdana"/>
        <charset val="0"/>
      </rPr>
      <t>65209</t>
    </r>
  </si>
  <si>
    <t>“闽超”常规赛最后一轮，南平队主教练张文卿表示：通过这场比赛，希望能考察一些队员的状态，为第二阶段取得好成绩做一个准备。</t>
  </si>
  <si>
    <t>“闽超”常规赛最后一轮，南平队队员叶鑫华表示：我们会拼尽全力，为球迷奉上一场精彩的比赛。</t>
  </si>
  <si>
    <t>7月17日晚，南平队进行赛前训练备战明日与龙岩队的比赛</t>
  </si>
  <si>
    <r>
      <rPr>
        <sz val="12"/>
        <rFont val="宋体"/>
        <charset val="0"/>
      </rPr>
      <t>抖音</t>
    </r>
    <r>
      <rPr>
        <sz val="12"/>
        <rFont val="Verdana"/>
        <charset val="0"/>
      </rPr>
      <t>33956</t>
    </r>
  </si>
  <si>
    <t>今日长缨在手 何时缚住苍龙 7月18日晚 龙岩（主场）VS南平（客场）</t>
  </si>
  <si>
    <t>ai制作：周俊</t>
  </si>
  <si>
    <t>7月17日上午，“闽超”南平队集结完毕，出征龙岩！</t>
  </si>
  <si>
    <r>
      <rPr>
        <sz val="12"/>
        <rFont val="宋体"/>
        <charset val="0"/>
      </rPr>
      <t>抖音</t>
    </r>
    <r>
      <rPr>
        <sz val="12"/>
        <rFont val="Verdana"/>
        <charset val="0"/>
      </rPr>
      <t>130017</t>
    </r>
  </si>
  <si>
    <t>新媒体串片单  2026-7-18星期六</t>
  </si>
  <si>
    <t>2026年7月18日《南平新闻》</t>
  </si>
  <si>
    <t>1.5亿岁“南波万”，在线申请带我回家</t>
  </si>
  <si>
    <t>2026年7月17日《南平新闻》</t>
  </si>
  <si>
    <t>速看，正确政绩观践行标尺</t>
  </si>
  <si>
    <t>10分钟创造奇迹！南平客场逼平龙岩！</t>
  </si>
  <si>
    <t>新华社《瞭望》·治国理政纪事：让绿水青山永远成为福建的骄傲</t>
  </si>
  <si>
    <t>曼行万里茶道 武夷探源之旅 邵武行程发布</t>
  </si>
  <si>
    <t>阅读量超3万奖励一个C</t>
  </si>
  <si>
    <t>曼行万里茶道 武夷探源之旅 寿山福海 武夷山遇林亭窑</t>
  </si>
  <si>
    <t>千钧一发！民警16秒狂奔救下轻生女子#正能量#人民公安为人民</t>
  </si>
  <si>
    <t>抖音266.7万</t>
  </si>
  <si>
    <t>阅读量超100万奖励两个A</t>
  </si>
  <si>
    <t>政和县星溪乡后宝岱村#政和#</t>
  </si>
  <si>
    <t>1.5亿岁“南波万”，在线申请带我回家~</t>
  </si>
  <si>
    <t>绝平龙岩南波万你看到了吗#闽超#闽超龙岩vs南平</t>
  </si>
  <si>
    <t>马凯：在艰难客场打入扳平的绝杀球，真的很刺激！</t>
  </si>
  <si>
    <t>叶兴楠：想扳平比分，进完球马上回中圈。</t>
  </si>
  <si>
    <t>周俊  胡宗榕</t>
  </si>
  <si>
    <t xml:space="preserve">南平队 15 号马凯再进一球，南平2:2龙岩 </t>
  </si>
  <si>
    <t>周俊  吴轲宇</t>
  </si>
  <si>
    <t>82分钟，南平队26号叶兴楠打入点球，南平VS龙岩1:2</t>
  </si>
  <si>
    <t>南平队最萌助威团 上线！</t>
  </si>
  <si>
    <t>7月18日“闽超”龙岩队VS南平队正式开赛#闽超</t>
  </si>
  <si>
    <t>2026“中国梦・劳动美” 南平市职工趣味运动会 火热开赛！</t>
  </si>
  <si>
    <t>南平助威团抵达龙岩现场激情声援主队#闽超#南平</t>
  </si>
  <si>
    <t xml:space="preserve"> 周俊</t>
  </si>
  <si>
    <r>
      <rPr>
        <sz val="12"/>
        <rFont val="宋体"/>
        <charset val="0"/>
      </rPr>
      <t>抖音</t>
    </r>
    <r>
      <rPr>
        <sz val="12"/>
        <rFont val="Verdana"/>
        <charset val="0"/>
      </rPr>
      <t>30552</t>
    </r>
  </si>
  <si>
    <t>第十九届“朱子之路”暨2026汉学青年学者研习营正式开营！</t>
  </si>
  <si>
    <t>龚启涛</t>
  </si>
  <si>
    <t>7月18日上午，邵武一中毕业生吴钰宸收到清华大学录取通知书！</t>
  </si>
  <si>
    <r>
      <rPr>
        <sz val="12"/>
        <rFont val="宋体"/>
        <charset val="0"/>
      </rPr>
      <t>抖音</t>
    </r>
    <r>
      <rPr>
        <sz val="12"/>
        <rFont val="Verdana"/>
        <charset val="0"/>
      </rPr>
      <t>116918</t>
    </r>
  </si>
  <si>
    <t>助力青年就业创业 政和县组织政和籍返乡大学生走进本土优质企业#南平#才聚武夷</t>
  </si>
  <si>
    <t>梁斌</t>
  </si>
  <si>
    <t>新媒体串片单  2026-7-19星期日</t>
  </si>
  <si>
    <t>7月20日上线！这些列车买票能提前预约了</t>
  </si>
  <si>
    <t>更好统筹发展和安全丨南平各地积极行动 排查整治各类安全生产隐患</t>
  </si>
  <si>
    <t>2026年7月19日《南平新闻》</t>
  </si>
  <si>
    <t>冠军之夜！世界杯决赛观赛攻略+AI预测抢先看→</t>
  </si>
  <si>
    <t>上级媒体看南平｜央视省台关注我市“千万工程”、郑成功文化交流活动、蒙曼武夷探源之旅等内容</t>
  </si>
  <si>
    <t>北京大学博士 徐慧敏：走朱子之路 观先贤 省自身 交知己</t>
  </si>
  <si>
    <t>胡志雄</t>
  </si>
  <si>
    <t>曼行万里茶道 武夷探源之旅。红茶是怎么来的，正山小种。桐木关为闽赣古关隘，这里诞生的正山小种是世界红茶之源，由此开启了四百余年的全球红茶传播史。</t>
  </si>
  <si>
    <t>曼行万里茶道 武夷山探源之旅。7月19日行程：光泽到顺昌，看玲珑溪谷、崇仁故里、顺昌博物馆，吃灌蛋</t>
  </si>
  <si>
    <t>绿茵燃动夜经济 武夷山“闽超”第二现场点亮城市烟火气</t>
  </si>
  <si>
    <t>2026中华文明讲坛·社会观第六讲——《儒学与东亚社会的近代转型》#南平#建阳#2026中华文明讲坛</t>
  </si>
  <si>
    <t>2026中华文明课堂第十讲——《东亚儒学视域下《孟子》在日本的传播与影响》#南平#建阳#2026中华文明课堂</t>
  </si>
  <si>
    <t xml:space="preserve">徐卓凡 </t>
  </si>
  <si>
    <t>南波万讲消防安全五项重点工作</t>
  </si>
  <si>
    <t>张笑驰 吴轲宇 徐卓凡</t>
  </si>
  <si>
    <t>AI奖励1B</t>
  </si>
  <si>
    <t>【朱子文化·专家说】赵永琛：走朱子之路 促进文化交流。</t>
  </si>
  <si>
    <t>杨志林 胡志雄</t>
  </si>
  <si>
    <t>“闽超”南平队主教练张文卿赛后发布会表示：很开心队员们战斗到最后一刻没放弃，这是第一阶段客场首个进球、首个积分。也衷心祝愿龙岩队在争冠组取得好成绩。</t>
  </si>
  <si>
    <t>10分钟创造奇迹！南平客场逼平龙岩！#闽超#闽超龙岩vs南平</t>
  </si>
  <si>
    <r>
      <rPr>
        <sz val="12"/>
        <rFont val="宋体"/>
        <charset val="0"/>
      </rPr>
      <t>抖音</t>
    </r>
    <r>
      <rPr>
        <sz val="12"/>
        <rFont val="Verdana"/>
        <charset val="0"/>
      </rPr>
      <t>31202</t>
    </r>
  </si>
  <si>
    <t xml:space="preserve">   值班责编:张瑞君       值班主任： 黎志刚            监审：王小川</t>
  </si>
  <si>
    <t>新媒体串片单  2026-7-20 星期一</t>
  </si>
  <si>
    <t>今天下午，蒙曼将带您探源万里茶道起源、“云”游延平</t>
  </si>
  <si>
    <t>2026年7月20日《南平新闻》</t>
  </si>
  <si>
    <t>中外青年组团打卡南平！这场研学太有底蕴了……</t>
  </si>
  <si>
    <t>7月21日 ，蒙曼将走进千年建州，品读千年北苑贡茶</t>
  </si>
  <si>
    <t>【关爱生命 关注健康】依托省级名医帮扶 建设区域一流介入血管外科</t>
  </si>
  <si>
    <t>毅法下乡践初心 集美大学学子走进松溪开展暑期社会实践活动</t>
  </si>
  <si>
    <t>中外青年组团打卡建阳！</t>
  </si>
  <si>
    <t>阳光征兵，你我同行。 第五辑：廉洁纪律</t>
  </si>
  <si>
    <t xml:space="preserve">周婷 </t>
  </si>
  <si>
    <t>阳光征兵，你我同行。 第四辑：审定新兵</t>
  </si>
  <si>
    <t>曼行万里茶道·武夷探源之旅延平</t>
  </si>
  <si>
    <t>【朱子文化·专家说】赵永琛：朱子之路是一场重要公共文化外交。#朱子之路#朱子#南平#研学</t>
  </si>
  <si>
    <t>“朱子之路”汉学青年研习营学员vlog：南平之行，满分体验！</t>
  </si>
  <si>
    <t xml:space="preserve">   值班责编:张瑞君    值班主任： 黎志刚            监审：刘晓强</t>
  </si>
  <si>
    <t>新媒体串片单  2026-7--20 星期一</t>
  </si>
  <si>
    <t xml:space="preserve">毅法下乡践初心 集美大学学子走进松溪开展暑期社会实践活动来源：松溪融媒 编辑：徐卓凡 </t>
  </si>
  <si>
    <t>中外青年组团打卡建阳！来源：建阳融媒 编辑：徐卓凡</t>
  </si>
  <si>
    <t xml:space="preserve">阳光征兵，你我同行。 第五辑：廉洁纪律 来源：南平市人民政府征兵办公室 编辑：周婷 </t>
  </si>
  <si>
    <t xml:space="preserve">阳光征兵，你我同行。 第四辑：审定新兵 来源：南平市人民政府征兵办公室 编辑：周婷 </t>
  </si>
  <si>
    <t>曼行万里茶道·武夷探源之旅</t>
  </si>
  <si>
    <t xml:space="preserve">北京大学博士 徐慧敏：走朱子之路 观先贤 省自身 交知己  编辑：胡志雄 </t>
  </si>
  <si>
    <t>【朱子文化·专家说】赵永琛：朱子之路是一场重要公共文化外交。 摄制：杨志林 胡志雄</t>
  </si>
  <si>
    <t xml:space="preserve">“朱子之路”汉学青年研习营学员vlog：南平之行，满分体验！  摄制：龚启涛 </t>
  </si>
  <si>
    <t xml:space="preserve">龚启涛 </t>
  </si>
  <si>
    <t xml:space="preserve">   值班责编:      周婷    值班主任： 黎志刚            监审：黄旭辉</t>
  </si>
  <si>
    <t>新媒体串片单  2026-7--21 星期二</t>
  </si>
  <si>
    <t>南平这位学子被空军航空大学录取！</t>
  </si>
  <si>
    <r>
      <rPr>
        <sz val="12"/>
        <rFont val="Arial"/>
        <charset val="1"/>
      </rPr>
      <t xml:space="preserve"> </t>
    </r>
    <r>
      <rPr>
        <sz val="12"/>
        <rFont val="宋体-简"/>
        <charset val="1"/>
      </rPr>
      <t>牛文静</t>
    </r>
    <r>
      <rPr>
        <sz val="12"/>
        <rFont val="Arial"/>
        <charset val="1"/>
      </rPr>
      <t xml:space="preserve"> </t>
    </r>
    <r>
      <rPr>
        <sz val="12"/>
        <rFont val="宋体-简"/>
        <charset val="1"/>
      </rPr>
      <t>余华尊</t>
    </r>
  </si>
  <si>
    <t>持续至7月26日！崇阳溪漫游道夏季音乐足球盛宴来啦！</t>
  </si>
  <si>
    <t>2026年7月21日《南平新闻》</t>
  </si>
  <si>
    <t>开门，系我</t>
  </si>
  <si>
    <t>21日下午至22日，蒙曼将带你“云”游政和，解锁茶香慢生活</t>
  </si>
  <si>
    <t xml:space="preserve">邵武市食安智慧监管一体化调度中心启用#南平#邵武#食品安全来源：邵武融媒编辑：徐卓凡 </t>
  </si>
  <si>
    <t>首届海峡两岸（南平）青少年乒乓球邀请赛即将开赛！编辑：徐卓凡</t>
  </si>
  <si>
    <t>曼行万里茶道·武夷探源之旅政和</t>
  </si>
  <si>
    <t>无</t>
  </si>
  <si>
    <t>曼行万里茶道·武夷探源之旅建瓯</t>
  </si>
  <si>
    <t xml:space="preserve">7月21日南平市建阳区2026年空军飞行员录取通知书颁发仪式在建阳一中举行。摄制：牛文静 </t>
  </si>
  <si>
    <t xml:space="preserve">牛文静 </t>
  </si>
  <si>
    <t>抖音17.8万</t>
  </si>
  <si>
    <t xml:space="preserve">【朱子文化·专家说】谢晓东：在行走中悟道。 摄制：杨志林 胡志雄 </t>
  </si>
  <si>
    <t xml:space="preserve">杨志林 胡志雄 </t>
  </si>
  <si>
    <t>青春追光 戎耀八闽 2026年福建省下半年征兵工作启动仪式在南平举行。#征兵#军人#入伍 摄制：郑晖 胡志雄</t>
  </si>
  <si>
    <t xml:space="preserve">   值班责编:    值班主任： 黎志刚            监审：刘晓强</t>
  </si>
  <si>
    <t>新媒体串片单  2026-7--22 星期三</t>
  </si>
  <si>
    <t>圆梦！她收到中国人民大学录取通知书！</t>
  </si>
  <si>
    <t>南平又一优秀学子圆梦空军航空大学！</t>
  </si>
  <si>
    <t>南平市林业局领导走进“中国南平网”，谈“武夷林下标准地建设”</t>
  </si>
  <si>
    <t>2026年7月22日《南平新闻》</t>
  </si>
  <si>
    <t>心归山水・静品武夷 | 武夷山国家公园主题观光列车即将首发</t>
  </si>
  <si>
    <t>蒙曼将走进古韵松溪，探寻石桥印记书香福村</t>
  </si>
  <si>
    <t>这些表现的背后，是错误政绩观在作祟！</t>
  </si>
  <si>
    <r>
      <rPr>
        <b/>
        <sz val="14"/>
        <rFont val="宋体"/>
        <charset val="134"/>
      </rPr>
      <t>小编二创短视频（含制作封面、包框）</t>
    </r>
    <r>
      <rPr>
        <b/>
        <sz val="10"/>
        <rFont val="宋体"/>
        <charset val="134"/>
      </rPr>
      <t xml:space="preserve"> 本周短视频主班小编：</t>
    </r>
  </si>
  <si>
    <t xml:space="preserve">聚焦重点场所 光泽县从严开展夜间消防安全排查#南平#光泽#消防来源：光泽融媒编辑：徐卓凡 </t>
  </si>
  <si>
    <t xml:space="preserve">“知艾防艾、共享健康” 南平疾控温馨提醒：预防艾滋病，从主动检测开始。来源：南平市疾控中心  编辑：周婷  </t>
  </si>
  <si>
    <t xml:space="preserve"> 南平疾控温馨提醒：不饮高氟水，告别氟中毒。
 来源：南平市疾控中心 编辑：周婷 </t>
  </si>
  <si>
    <t>祝贺延平学子刘臻铭 圆梦中国人民解放军空军航空大学#南平#延平#高考#录取通知书 来源：延平融媒 编辑：徐卓凡</t>
  </si>
  <si>
    <t xml:space="preserve">曼行万里茶道 武夷探源之旅  武夷山水美如诗#南平#蒙曼#武夷山#曼行万里茶道武夷探源之旅 来源：@蒙曼. 编辑：徐卓凡
 </t>
  </si>
  <si>
    <t xml:space="preserve">【朱子之路.专家谈】谢晓东:吹你吹过的风  走你走过的路  摄制：杨志林 胡志雄 </t>
  </si>
  <si>
    <t xml:space="preserve">2026汉学青年研习营正式闭营
摄制：龚启涛 </t>
  </si>
  <si>
    <t xml:space="preserve">蒙曼教授获颁“武夷山荣誉山民”证书。#南平#武夷山#蒙曼#武夷山荣誉山民 摄制:牛文静 </t>
  </si>
  <si>
    <t>7月22日，武夷山一中毕业生马伊简收到中国人民大学录取通知书#高考录取通知书#中国人民大学#武夷山一中#艺考生摄制：余华尊 通讯员 周远有</t>
  </si>
  <si>
    <t xml:space="preserve">余华尊 </t>
  </si>
  <si>
    <t>6万</t>
  </si>
  <si>
    <t xml:space="preserve">2026汉学青年研习营正式闭营  摄制：龚启涛 </t>
  </si>
  <si>
    <t xml:space="preserve">“朱子之路”汉学青年研习营学员vlog：让中国文化传播得更远 摄制：龚启涛 </t>
  </si>
  <si>
    <t>“朱子之路”汉学青年研习营学员vlog：体验“朱子之路” 传播朱子文化#朱子文化#朱子之路 摄制：龚启涛</t>
  </si>
  <si>
    <t xml:space="preserve">   值班责编:  周婷  值班主任： 黎志刚            监审：刘晓强</t>
  </si>
  <si>
    <t>新媒体串片单  2026-7--23 星期四</t>
  </si>
  <si>
    <t>车票已开售！武夷山国家公园主题观光列车即将首发，附购票方式→</t>
  </si>
  <si>
    <t>一辆列车链接山海，满城烟火寻味地道闽北</t>
  </si>
  <si>
    <t>“曼行万里茶道·武夷探源之旅”圆满收官！助力南平茶文化传播</t>
  </si>
  <si>
    <t>2026年7月23日《南平新闻》</t>
  </si>
  <si>
    <t>更好统筹发展和安全｜南平开展全市消防安全集中夜查行动</t>
  </si>
  <si>
    <t>山海同心 共赢未来——邵武与海南签署文旅共建合作备忘录</t>
  </si>
  <si>
    <t>这些政绩观错位行为要受哪些党纪处分？</t>
  </si>
  <si>
    <t>惠民人社丨2026年全市人力资源社会保障半年工作会议召开</t>
  </si>
  <si>
    <t>小编二创短视频（含制作封面、包框） 本周短视频主班小编：徐卓凡</t>
  </si>
  <si>
    <t>曼行万里茶道 武夷探源之旅  政和松溪行程#南平#松溪#蒙曼#曼行万里茶道武夷探源之旅 来源:@蒙曼. 编辑:徐卓凡</t>
  </si>
  <si>
    <t xml:space="preserve">第十九届“朱子之路”研习营举行结业式#朱子之路#朱熹#研学来源：建阳融媒编辑：胡志雄
</t>
  </si>
  <si>
    <t xml:space="preserve">二十四节气里的中医智慧——大暑。南平市人民医院中医的大暑节气的养生建议。 摄制：徐卓凡 </t>
  </si>
  <si>
    <t xml:space="preserve">曼行万里茶道·武夷探源之旅”茶道探源之行结束，蒙曼教授分享行程感悟——茶出此山，茶道万里。 摄制：张云婷  牛文静 </t>
  </si>
  <si>
    <t xml:space="preserve">张云婷  牛文静 </t>
  </si>
  <si>
    <t>曼行万里茶道·武夷探源之旅”茶道探源之行结束，蒙曼教授分享行程感悟——我们的茶长出了“万紫千红”的气象。摄制：张云婷  牛文静</t>
  </si>
  <si>
    <t>2.3万</t>
  </si>
  <si>
    <t xml:space="preserve">【第十九届朱子之路】韩国留学生崔舒炯：沉浸式感受朱子学浩然正气 摄制：杨志林 胡志雄  </t>
  </si>
  <si>
    <t xml:space="preserve">杨志林 胡志雄  </t>
  </si>
  <si>
    <r>
      <rPr>
        <sz val="11"/>
        <color theme="1"/>
        <rFont val="宋体"/>
        <charset val="134"/>
      </rPr>
      <t xml:space="preserve">浦城县忠信镇高溪村，奇峰瀑布，清凉避暑胜地。
 摄制：蒋超  </t>
    </r>
    <r>
      <rPr>
        <sz val="11"/>
        <color theme="1"/>
        <rFont val="Times New Roman"/>
        <charset val="134"/>
      </rPr>
      <t> </t>
    </r>
    <r>
      <rPr>
        <sz val="11"/>
        <color theme="1"/>
        <rFont val="宋体"/>
        <charset val="134"/>
      </rPr>
      <t xml:space="preserve"> </t>
    </r>
  </si>
  <si>
    <t xml:space="preserve">蒋超    </t>
  </si>
  <si>
    <t xml:space="preserve">夏日限定浪漫，藏在荷塘深处#建阳崇雒 来源：蓝色经典6668 </t>
  </si>
  <si>
    <t>【第十九届朱子之路】波兰留学生傿静安：躬身实践 解锁传统文化的真正魅力  摄制：杨志林 胡志雄</t>
  </si>
  <si>
    <t xml:space="preserve">【第十九届朱子之路】伊拉克留学生康小梅：愿搭建中国与伊拉克的文明桥梁#  摄制：杨志林 胡志雄 </t>
  </si>
  <si>
    <t>新媒体串片单  2026-7--24 星期五</t>
  </si>
  <si>
    <t>预警升级！登陆地点有变！台风“红霞”已进入24小时警戒线</t>
  </si>
  <si>
    <t>南平市2026年中职本科“3+4”录取分数线公布</t>
  </si>
  <si>
    <t>南平市教育局领导走进“中国南平网”，谈“构建与人口变化相适应的教育布局体系”</t>
  </si>
  <si>
    <t>南平小伙入选第20届名古屋亚运会参赛名单</t>
  </si>
  <si>
    <t>2026年7月24日《南平新闻》</t>
  </si>
  <si>
    <t>明天首发！武夷山国家公园观光列车值得期待的N大理由</t>
  </si>
  <si>
    <t>南平连续四年获省河长制湖长制正向激励</t>
  </si>
  <si>
    <t>建阳区开展电动车飞线充电、消防通道隐患专项整治#南平#消防#建阳 来源：建阳融媒 编辑：徐卓凡</t>
  </si>
  <si>
    <t xml:space="preserve">南平连续四年获省河长制湖长制正向激励 记者：黎志刚 编辑：徐卓凡 </t>
  </si>
  <si>
    <t xml:space="preserve">   值班责编:   周婷           值班主任： 黎志刚            监审：刘晓强</t>
  </si>
  <si>
    <t>新媒体串片单  2026-7--25 星期六</t>
  </si>
  <si>
    <t>微信公众号    本周微刊小编：王馨</t>
  </si>
  <si>
    <t>优秀！南平这名学子被北京大学录取！</t>
  </si>
  <si>
    <t>武夷山国家公园主题观光列车首发启程！游客沉浸式体验大武夷风情</t>
  </si>
  <si>
    <t>今晚赴约！“闽超”南平队首次球迷见面会，签名球衣、南波万玩偶等你拿！</t>
  </si>
  <si>
    <t>圆满启航｜武夷山国家公园主题观光列车首发盛典全回顾</t>
  </si>
  <si>
    <t>南平再次获评优秀等次！全省乡村振兴战略实绩考核结果公布→</t>
  </si>
  <si>
    <t>2026年7月25日《南平新闻》</t>
  </si>
  <si>
    <r>
      <rPr>
        <b/>
        <sz val="14"/>
        <rFont val="宋体"/>
        <charset val="134"/>
      </rPr>
      <t>小编二创短视频（含制作封面、包框）</t>
    </r>
    <r>
      <rPr>
        <b/>
        <sz val="12"/>
        <rFont val="宋体"/>
        <charset val="134"/>
      </rPr>
      <t xml:space="preserve"> </t>
    </r>
    <r>
      <rPr>
        <sz val="12"/>
        <rFont val="宋体"/>
        <charset val="134"/>
      </rPr>
      <t>本周短视频主班小编：徐卓凡</t>
    </r>
  </si>
  <si>
    <t xml:space="preserve">曼行万里茶道 武夷探源之旅 大红袍的三个故事#  来源：@蒙曼.编辑：徐卓凡 </t>
  </si>
  <si>
    <t>受台风 “红霞” 外围环流影响！ 南平未来三天多雷雨，局部大雨 来源：南平气象编辑：徐卓凡</t>
  </si>
  <si>
    <t>7月25日，南平市第三届“朱子杯”中华诗词大会亲子组复赛在云谷实验学校举行！摄制：张笑弛</t>
  </si>
  <si>
    <t>3.6万</t>
  </si>
  <si>
    <t xml:space="preserve">“闽超”南平队首次球迷见面会，在崇阳溪漫游道举行。 摄制：牛文静 </t>
  </si>
  <si>
    <t>抖音3.2万</t>
  </si>
  <si>
    <t>7月25日上午，邵武一中毕业生曾嘉豪收到北京大学录取通知书！摄制：余华尊 王馨  通讯员：周远有 薛婉婷</t>
  </si>
  <si>
    <t>余华尊 王馨</t>
  </si>
  <si>
    <t>2.9万</t>
  </si>
  <si>
    <t>#武夷山国家公园主题观光列车 7月25日首发启程 摄制：周俊</t>
  </si>
  <si>
    <t>3.0万</t>
  </si>
  <si>
    <t>新媒体串片单  2026-7--26星期天</t>
  </si>
  <si>
    <r>
      <rPr>
        <b/>
        <sz val="14"/>
        <rFont val="宋体"/>
        <charset val="134"/>
      </rPr>
      <t xml:space="preserve">微信公众号  </t>
    </r>
    <r>
      <rPr>
        <sz val="10"/>
        <rFont val="宋体"/>
        <charset val="134"/>
      </rPr>
      <t xml:space="preserve">  本周微刊小编：王馨</t>
    </r>
  </si>
  <si>
    <t>2026年7月26日《南平新闻》</t>
  </si>
  <si>
    <t>上级媒体看南平｜央视省台关注我市暑期文旅业态、美丽乡村建设、消防安全检查、科技特派员等内容</t>
  </si>
  <si>
    <t>树立和践行正确政绩观，这些“不”字要谨记</t>
  </si>
  <si>
    <t xml:space="preserve">福建非遗：南平光泽郑氏古法线香：一缕庭燎香 百年匠人心   来源：光泽融媒 赵挺 宋曦 编辑：周婷  </t>
  </si>
  <si>
    <t xml:space="preserve">   值班责编:       周婷      值班主任： 黎志刚            监审：刘晓强</t>
  </si>
  <si>
    <t>新媒体串片单  2026-7-27 星期一</t>
  </si>
  <si>
    <t>“1234”！南平市未来五年城市这样更新→</t>
  </si>
  <si>
    <t>2026年7月27日《南平新闻》</t>
  </si>
  <si>
    <t>【关爱生命 关注健康】“量眼打造”白内障手术方案 助患者从“看得见”向“看得好”</t>
  </si>
  <si>
    <t>活动预告丨2026中华文明讲坛·社会观·系列讲座·第七讲</t>
  </si>
  <si>
    <t>曼行万里茶道·武夷探源之旅：邵武聚奎塔 你不知道的袁崇焕</t>
  </si>
  <si>
    <t>【心归山水间 武夷百村游】邵武市龙斗村·瑶理：微风里，藏着夏天的慢时光。#南平 #武夷百村 #邵武 #龙斗 #瑶理</t>
  </si>
  <si>
    <t>高原 张笑弛</t>
  </si>
  <si>
    <t>“武夷弦歌・万里茶缘”俄罗斯彼得堡小夜曲室内合唱团武夷山研学交流活动在我市圆满举办</t>
  </si>
  <si>
    <t>这瓶好水来自我的家乡#闽超南平队武夷山之旅#闽超</t>
  </si>
  <si>
    <t>周俊 胡志雄</t>
  </si>
  <si>
    <t>“闽超”南平队喊你来看印象大红袍#闽超#南平队#印象大红袍</t>
  </si>
  <si>
    <t xml:space="preserve">   值班责编:张瑞君        值班主任： 黎志刚            监审：雷杨</t>
  </si>
  <si>
    <t>新媒体串片单  2026-7-28 星期二</t>
  </si>
  <si>
    <t>绿茵暂歇 山水“充电”！“闽超”南平队走进武夷山</t>
  </si>
  <si>
    <t>2026年7月28日《南平新闻》</t>
  </si>
  <si>
    <t>【党旗在一线高高飘扬】“廖俊波式好党员干部”郑莉：脚下沾泥土 初心护稻香</t>
  </si>
  <si>
    <t>南平疾控科普公开课：社会共治 消除肝炎。#疾控#肝炎</t>
  </si>
  <si>
    <t>南平两名学生林翰羽和刘臻铭被空军航空大学录取，将乘坐运-20去上学！#运-20#空军航空大学#南平</t>
  </si>
  <si>
    <t>顺昌县开展夏季冷饮食品安全专项检查#南平#顺昌#食品安全专项</t>
  </si>
  <si>
    <t>中国人民大学哲学院到南平开展“哲思中国：新文明生命体的实践考察”</t>
  </si>
  <si>
    <t>胡宗榕</t>
  </si>
  <si>
    <t>7月26日至27日，“闽超”南平队踏上武夷山疗休养之行，感受家乡山水美景与生态优势产业发展#南平#闽超#南平南波万#疗休养</t>
  </si>
  <si>
    <t>新媒体串片单  2026-7-29星期三</t>
  </si>
  <si>
    <t>2026年7月29日《南平新闻》</t>
  </si>
  <si>
    <t>《樵夫廖俊波》7月30-31日在东南卫视播出</t>
  </si>
  <si>
    <t>对手是？南平队8月8日再战“闽超”！第二阶段赛程正式公布</t>
  </si>
  <si>
    <t>武夷山列入《旅游强国建设“十五五”规划》</t>
  </si>
  <si>
    <t>朱熹的为政准则中，藏着恒久不变的为民初心</t>
  </si>
  <si>
    <t>小编二创短视频（含制作封面、包框） 本周短视频主班小编： 牛文静</t>
  </si>
  <si>
    <t>奥运冠军、国际乒联运动员委员会主席——刘诗雯畅游南平绿水青山</t>
  </si>
  <si>
    <t>南波万：快来！带我回家！</t>
  </si>
  <si>
    <t>纪录片《樵夫廖俊波》即将在东南卫视播出</t>
  </si>
  <si>
    <t>张云婷</t>
  </si>
  <si>
    <t>【环带风景线·印象】季夏荷月，到万亩荷塘领略诗词意境之美</t>
  </si>
  <si>
    <t>陈慧强</t>
  </si>
  <si>
    <t>7月27日，奥运冠军、国际乒联运动员委员会主席刘诗雯走进南平市云谷社区！</t>
  </si>
  <si>
    <t>【心归山水间 武夷百村游】来政和念山吧，这里的风是甜的，连蝉鸣都透着清凉！</t>
  </si>
  <si>
    <t>新媒体串片单  2026-7-30星期四</t>
  </si>
  <si>
    <t>南平市六届人大常委会第三十三次会议召开</t>
  </si>
  <si>
    <t>南平的空气怎么算钱？国家碳计量中心（福建）告诉你</t>
  </si>
  <si>
    <t>国台办推荐！首届海峡两岸（南平）青少年乒乓球邀请赛落幕</t>
  </si>
  <si>
    <t>惠民人社丨南平市举办2026年马兰花SYB创业培训班</t>
  </si>
  <si>
    <t>守护国防安全！7月31日，邀您共赴南平这场主题宣传活动</t>
  </si>
  <si>
    <t>2026年7月30日《南平新闻》</t>
  </si>
  <si>
    <t>中国也有自己的石头殿堂，顺昌宝山寺。</t>
  </si>
  <si>
    <t>武夷梦华城FPV视角航拍</t>
  </si>
  <si>
    <t>公益宣传片《福建护苗志》——汇聚你我力量，共护健康成长</t>
  </si>
  <si>
    <t>近日，由武夷新区筹建的为民办实事项目——崇诚里北侧口袋公园建成开放，成为市民休闲漫步、乐享生活的新晋打卡地，日均人流量近千人</t>
  </si>
  <si>
    <t>胡志雄 周俊</t>
  </si>
  <si>
    <t>新媒体串片单  2026-7-31星期五</t>
  </si>
  <si>
    <t>发现火灾和安全生产隐患怎么办？南平公布举报渠道→</t>
  </si>
  <si>
    <t>点赞！南平台作品入选央视号优质稿件TOP10</t>
  </si>
  <si>
    <t>这根竹子不简单！南平让“小竹子”释放“大能量”</t>
  </si>
  <si>
    <t>学习时报》刊发福建省习近平新时代中国特色社会主义思想研究中心署名文章《“爱我人民爱我军”的时代回响》</t>
  </si>
  <si>
    <t>家门口新增“遛娃神器”！武夷新区这个公园火了</t>
  </si>
  <si>
    <t>明天起，这些新规将影响你我生活！</t>
  </si>
  <si>
    <t>南平市农业农村局领导走进“中国南平网”，解读《南平市分类有序、片区化推进乡村振兴工作导则》</t>
  </si>
  <si>
    <t>2026年7月31日《南平新闻》</t>
  </si>
  <si>
    <t>四集党建主题纪录片《樵夫廖俊波》</t>
  </si>
  <si>
    <t>《福建省军事设施保护条例》8月1日正式实施</t>
  </si>
  <si>
    <t>福建农林大学南平校区二期宿舍抢先看</t>
  </si>
  <si>
    <t xml:space="preserve">周俊 胡志雄 </t>
  </si>
  <si>
    <t>微信公众号绩效</t>
  </si>
  <si>
    <t>姓名</t>
  </si>
  <si>
    <t>系数</t>
  </si>
  <si>
    <t>基础绩效</t>
  </si>
  <si>
    <t>工业园区/人社局微刊</t>
  </si>
  <si>
    <t>微刊天数</t>
  </si>
  <si>
    <t>合计（分）</t>
  </si>
  <si>
    <t>王馨</t>
  </si>
  <si>
    <t>抖音、视频号绩效</t>
  </si>
  <si>
    <t>系数1</t>
  </si>
  <si>
    <t>条数</t>
  </si>
  <si>
    <t>责编天数</t>
  </si>
  <si>
    <t>其他绩效绩效</t>
  </si>
  <si>
    <t>【新闻回看】视频回看每日上传绩效：24分；</t>
  </si>
  <si>
    <t>新媒体工分计算：5分</t>
  </si>
  <si>
    <t>刘乐</t>
  </si>
  <si>
    <t>新闻节目上传：36分</t>
  </si>
  <si>
    <t>人社局AI主播说短视频：0</t>
  </si>
  <si>
    <t>接听指令电话</t>
  </si>
  <si>
    <t>新媒体人员合计分</t>
  </si>
  <si>
    <t>非新媒体人员合计分</t>
  </si>
  <si>
    <t>陈仁</t>
  </si>
  <si>
    <t>陈晓强</t>
  </si>
  <si>
    <t>郑晖</t>
  </si>
  <si>
    <t xml:space="preserve">余华尊  </t>
  </si>
  <si>
    <t>黎志刚</t>
  </si>
  <si>
    <t>王晓飞</t>
  </si>
  <si>
    <t>杨志林</t>
  </si>
  <si>
    <t>蒋超</t>
  </si>
  <si>
    <t>7月份刚刚帖及微刊阅读量超5000部分</t>
  </si>
  <si>
    <t>标题</t>
  </si>
  <si>
    <t>作者</t>
  </si>
  <si>
    <t>奖励</t>
  </si>
  <si>
    <t>超强台风“巴威”将进入48小时警戒线！南平有暴雨、大暴雨！</t>
  </si>
  <si>
    <r>
      <rPr>
        <sz val="12"/>
        <rFont val="宋体"/>
        <charset val="0"/>
      </rPr>
      <t>南平这些乡镇降雨较大！台风</t>
    </r>
    <r>
      <rPr>
        <sz val="12"/>
        <rFont val="Arial"/>
        <charset val="0"/>
      </rPr>
      <t>“</t>
    </r>
    <r>
      <rPr>
        <sz val="12"/>
        <rFont val="宋体"/>
        <charset val="0"/>
      </rPr>
      <t>巴威</t>
    </r>
    <r>
      <rPr>
        <sz val="12"/>
        <rFont val="Arial"/>
        <charset val="0"/>
      </rPr>
      <t>”</t>
    </r>
    <r>
      <rPr>
        <sz val="12"/>
        <rFont val="宋体"/>
        <charset val="0"/>
      </rPr>
      <t>将进入</t>
    </r>
    <r>
      <rPr>
        <sz val="12"/>
        <rFont val="Arial"/>
        <charset val="0"/>
      </rPr>
      <t>24</t>
    </r>
    <r>
      <rPr>
        <sz val="12"/>
        <rFont val="宋体"/>
        <charset val="0"/>
      </rPr>
      <t>小时警戒线</t>
    </r>
  </si>
  <si>
    <t>南平发布“台风+暴雨”双预警！警惕次生灾害！</t>
  </si>
  <si>
    <t>余华尊 牛文静</t>
  </si>
  <si>
    <t>7月新媒体工分</t>
  </si>
  <si>
    <t>微信转发</t>
  </si>
  <si>
    <t>微刊（分）</t>
  </si>
  <si>
    <t>短视频（分）</t>
  </si>
  <si>
    <t>刚刚帖（分）</t>
  </si>
  <si>
    <t>倪婷婷</t>
  </si>
  <si>
    <t>黄琦</t>
  </si>
  <si>
    <t>寿洪清</t>
  </si>
  <si>
    <t>危义铭</t>
  </si>
  <si>
    <t>黄益平</t>
  </si>
  <si>
    <t>吴丹</t>
  </si>
  <si>
    <t>包剑武</t>
  </si>
  <si>
    <t>许文婷</t>
  </si>
  <si>
    <t>吴骁</t>
  </si>
  <si>
    <t>伍道微</t>
  </si>
  <si>
    <t>翁崇毅</t>
  </si>
  <si>
    <t>邱太文</t>
  </si>
  <si>
    <t>林俊涛</t>
  </si>
  <si>
    <t>周颖</t>
  </si>
  <si>
    <t>王小川</t>
  </si>
  <si>
    <t>林世利</t>
  </si>
  <si>
    <t>黄慧娟</t>
  </si>
  <si>
    <t>陈玲珑</t>
  </si>
  <si>
    <t>周琪圆</t>
  </si>
  <si>
    <t>潘东浩</t>
  </si>
  <si>
    <t>李晨雨</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</si>
</sst>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00_ "/>
    <numFmt numFmtId="178" formatCode="0_);[Red]\(0\)"/>
  </numFmts>
  <fonts count="86">
    <font>
      <sz val="11"/>
      <color theme="1"/>
      <name val="宋体"/>
      <charset val="134"/>
      <scheme val="minor"/>
    </font>
    <font>
      <b/>
      <sz val="20"/>
      <name val="宋体"/>
      <charset val="134"/>
    </font>
    <font>
      <sz val="12"/>
      <name val="宋体"/>
      <charset val="134"/>
    </font>
    <font>
      <b/>
      <sz val="14"/>
      <name val="宋体"/>
      <charset val="134"/>
    </font>
    <font>
      <b/>
      <sz val="10"/>
      <name val="宋体"/>
      <charset val="134"/>
    </font>
    <font>
      <sz val="11"/>
      <name val="宋体"/>
      <charset val="134"/>
      <scheme val="major"/>
    </font>
    <font>
      <b/>
      <sz val="11"/>
      <name val="宋体"/>
      <charset val="134"/>
      <scheme val="major"/>
    </font>
    <font>
      <sz val="11"/>
      <color theme="1"/>
      <name val="宋体"/>
      <charset val="134"/>
      <scheme val="major"/>
    </font>
    <font>
      <b/>
      <sz val="11"/>
      <color theme="1"/>
      <name val="宋体"/>
      <charset val="134"/>
      <scheme val="minor"/>
    </font>
    <font>
      <b/>
      <sz val="24"/>
      <name val="宋体"/>
      <charset val="134"/>
    </font>
    <font>
      <sz val="11"/>
      <name val="宋体"/>
      <charset val="134"/>
    </font>
    <font>
      <sz val="12"/>
      <name val="Arial"/>
      <charset val="0"/>
    </font>
    <font>
      <sz val="12"/>
      <name val="宋体"/>
      <charset val="1"/>
    </font>
    <font>
      <sz val="12"/>
      <name val="Arial"/>
      <charset val="1"/>
    </font>
    <font>
      <sz val="10"/>
      <name val="宋体"/>
      <charset val="134"/>
    </font>
    <font>
      <sz val="10"/>
      <name val="Arial"/>
      <charset val="134"/>
    </font>
    <font>
      <sz val="11"/>
      <color theme="1"/>
      <name val="宋体"/>
      <charset val="134"/>
    </font>
    <font>
      <sz val="12"/>
      <name val="宋体"/>
      <charset val="0"/>
    </font>
    <font>
      <sz val="10"/>
      <color rgb="FF000000"/>
      <name val="Verdana"/>
      <charset val="0"/>
    </font>
    <font>
      <b/>
      <sz val="12"/>
      <name val="宋体"/>
      <charset val="134"/>
    </font>
    <font>
      <b/>
      <sz val="11"/>
      <color rgb="FF000000"/>
      <name val="宋体"/>
      <charset val="134"/>
    </font>
    <font>
      <sz val="18"/>
      <color theme="1"/>
      <name val="宋体"/>
      <charset val="134"/>
    </font>
    <font>
      <sz val="11"/>
      <name val="宋体"/>
      <charset val="134"/>
      <scheme val="minor"/>
    </font>
    <font>
      <sz val="10"/>
      <color theme="1"/>
      <name val="宋体"/>
      <charset val="134"/>
      <scheme val="minor"/>
    </font>
    <font>
      <sz val="11"/>
      <name val="Arial"/>
      <charset val="134"/>
    </font>
    <font>
      <sz val="11"/>
      <name val="宋体-简"/>
      <charset val="134"/>
    </font>
    <font>
      <sz val="11"/>
      <color theme="1"/>
      <name val="Arial"/>
      <charset val="134"/>
    </font>
    <font>
      <b/>
      <sz val="18"/>
      <name val="宋体"/>
      <charset val="134"/>
    </font>
    <font>
      <sz val="10"/>
      <name val="Arial"/>
      <charset val="1"/>
    </font>
    <font>
      <sz val="11"/>
      <name val="Arial"/>
      <charset val="1"/>
    </font>
    <font>
      <sz val="11"/>
      <color theme="1"/>
      <name val="Arial"/>
      <charset val="0"/>
    </font>
    <font>
      <sz val="10"/>
      <name val="Arial"/>
      <charset val="0"/>
    </font>
    <font>
      <b/>
      <sz val="18"/>
      <color theme="1"/>
      <name val="宋体"/>
      <charset val="134"/>
    </font>
    <font>
      <sz val="12"/>
      <color rgb="FF1A1B1C"/>
      <name val="宋体"/>
      <charset val="134"/>
      <scheme val="minor"/>
    </font>
    <font>
      <sz val="11"/>
      <color theme="1"/>
      <name val="Arial"/>
      <charset val="1"/>
    </font>
    <font>
      <sz val="11"/>
      <color theme="1"/>
      <name val="宋体-简"/>
      <charset val="0"/>
    </font>
    <font>
      <sz val="10"/>
      <name val="宋体"/>
      <charset val="134"/>
      <scheme val="minor"/>
    </font>
    <font>
      <sz val="10"/>
      <color theme="1"/>
      <name val="宋体"/>
      <charset val="0"/>
    </font>
    <font>
      <sz val="12"/>
      <color theme="1"/>
      <name val="宋体"/>
      <charset val="134"/>
    </font>
    <font>
      <sz val="10"/>
      <color theme="1"/>
      <name val="Arial"/>
      <charset val="1"/>
    </font>
    <font>
      <sz val="10"/>
      <color theme="1"/>
      <name val="宋体"/>
      <charset val="134"/>
    </font>
    <font>
      <sz val="12"/>
      <color theme="1"/>
      <name val="宋体"/>
      <charset val="134"/>
      <scheme val="minor"/>
    </font>
    <font>
      <sz val="10"/>
      <color theme="1"/>
      <name val="Arial"/>
      <charset val="134"/>
    </font>
    <font>
      <b/>
      <sz val="12"/>
      <color rgb="FFFF0000"/>
      <name val="宋体"/>
      <charset val="134"/>
    </font>
    <font>
      <b/>
      <sz val="10"/>
      <color theme="1"/>
      <name val="宋体-简"/>
      <charset val="0"/>
    </font>
    <font>
      <b/>
      <sz val="12"/>
      <color theme="1"/>
      <name val="宋体"/>
      <charset val="134"/>
    </font>
    <font>
      <sz val="10"/>
      <name val="宋体-简"/>
      <charset val="0"/>
    </font>
    <font>
      <sz val="10"/>
      <name val="宋体"/>
      <charset val="0"/>
    </font>
    <font>
      <b/>
      <sz val="11"/>
      <name val="宋体"/>
      <charset val="134"/>
    </font>
    <font>
      <sz val="11"/>
      <name val="宋体"/>
      <charset val="0"/>
    </font>
    <font>
      <sz val="10.5"/>
      <color theme="1"/>
      <name val="宋体"/>
      <charset val="134"/>
      <scheme val="minor"/>
    </font>
    <font>
      <sz val="11"/>
      <color theme="1"/>
      <name val="宋体-简"/>
      <charset val="1"/>
    </font>
    <font>
      <sz val="10"/>
      <name val="宋体-简"/>
      <charset val="134"/>
    </font>
    <font>
      <b/>
      <sz val="11"/>
      <color theme="1"/>
      <name val="宋体"/>
      <charset val="134"/>
    </font>
    <font>
      <sz val="11.25"/>
      <color rgb="FF000000"/>
      <name val="宋体"/>
      <charset val="134"/>
      <scheme val="minor"/>
    </font>
    <font>
      <sz val="12"/>
      <name val="宋体-简"/>
      <charset val="1"/>
    </font>
    <font>
      <sz val="11"/>
      <name val="宋体-简"/>
      <charset val="0"/>
    </font>
    <font>
      <sz val="11"/>
      <color rgb="FF1A1B1C"/>
      <name val="宋体"/>
      <charset val="134"/>
      <scheme val="minor"/>
    </font>
    <font>
      <sz val="11"/>
      <color rgb="FFFF0000"/>
      <name val="宋体"/>
      <charset val="134"/>
    </font>
    <font>
      <sz val="10"/>
      <color rgb="FFFF0000"/>
      <name val="宋体-简"/>
      <charset val="134"/>
    </font>
    <font>
      <b/>
      <sz val="14"/>
      <color theme="1"/>
      <name val="宋体"/>
      <charset val="134"/>
    </font>
    <font>
      <sz val="12"/>
      <name val="Verdana"/>
      <charset val="0"/>
    </font>
    <font>
      <sz val="14"/>
      <name val="宋体"/>
      <charset val="134"/>
    </font>
    <font>
      <b/>
      <sz val="18"/>
      <color rgb="FFFF0000"/>
      <name val="宋体"/>
      <charset val="134"/>
    </font>
    <font>
      <sz val="11"/>
      <color rgb="FFFF0000"/>
      <name val="宋体"/>
      <charset val="134"/>
      <scheme val="minor"/>
    </font>
    <font>
      <sz val="10.5"/>
      <color rgb="FF1A1B1C"/>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Times New Roman"/>
      <charset val="134"/>
    </font>
  </fonts>
  <fills count="38">
    <fill>
      <patternFill patternType="none"/>
    </fill>
    <fill>
      <patternFill patternType="gray125"/>
    </fill>
    <fill>
      <patternFill patternType="solid">
        <fgColor theme="0" tint="-0.0499893185216834"/>
        <bgColor indexed="64"/>
      </patternFill>
    </fill>
    <fill>
      <patternFill patternType="solid">
        <fgColor rgb="FFF2F2F2"/>
        <bgColor indexed="64"/>
      </patternFill>
    </fill>
    <fill>
      <patternFill patternType="solid">
        <fgColor rgb="FFE7E6E6"/>
        <bgColor indexed="64"/>
      </patternFill>
    </fill>
    <fill>
      <patternFill patternType="solid">
        <fgColor theme="0" tint="-0.1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style="thin">
        <color auto="1"/>
      </bottom>
      <diagonal/>
    </border>
    <border>
      <left/>
      <right/>
      <top/>
      <bottom style="thin">
        <color auto="1"/>
      </bottom>
      <diagonal/>
    </border>
    <border>
      <left style="thin">
        <color auto="1"/>
      </left>
      <right/>
      <top style="thin">
        <color auto="1"/>
      </top>
      <bottom/>
      <diagonal/>
    </border>
    <border>
      <left style="medium">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diagonal/>
    </border>
    <border>
      <left/>
      <right style="medium">
        <color auto="1"/>
      </right>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thin">
        <color auto="1"/>
      </left>
      <right/>
      <top/>
      <bottom style="thin">
        <color auto="1"/>
      </bottom>
      <diagonal/>
    </border>
    <border>
      <left style="thin">
        <color auto="1"/>
      </left>
      <right style="medium">
        <color auto="1"/>
      </right>
      <top/>
      <bottom style="thin">
        <color auto="1"/>
      </bottom>
      <diagonal/>
    </border>
    <border>
      <left/>
      <right style="medium">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0" fillId="7" borderId="36" applyNumberFormat="0" applyFont="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1" fillId="0" borderId="37" applyNumberFormat="0" applyFill="0" applyAlignment="0" applyProtection="0">
      <alignment vertical="center"/>
    </xf>
    <xf numFmtId="0" fontId="72" fillId="0" borderId="37" applyNumberFormat="0" applyFill="0" applyAlignment="0" applyProtection="0">
      <alignment vertical="center"/>
    </xf>
    <xf numFmtId="0" fontId="73" fillId="0" borderId="38" applyNumberFormat="0" applyFill="0" applyAlignment="0" applyProtection="0">
      <alignment vertical="center"/>
    </xf>
    <xf numFmtId="0" fontId="73" fillId="0" borderId="0" applyNumberFormat="0" applyFill="0" applyBorder="0" applyAlignment="0" applyProtection="0">
      <alignment vertical="center"/>
    </xf>
    <xf numFmtId="0" fontId="74" fillId="8" borderId="39" applyNumberFormat="0" applyAlignment="0" applyProtection="0">
      <alignment vertical="center"/>
    </xf>
    <xf numFmtId="0" fontId="75" fillId="9" borderId="40" applyNumberFormat="0" applyAlignment="0" applyProtection="0">
      <alignment vertical="center"/>
    </xf>
    <xf numFmtId="0" fontId="76" fillId="9" borderId="39" applyNumberFormat="0" applyAlignment="0" applyProtection="0">
      <alignment vertical="center"/>
    </xf>
    <xf numFmtId="0" fontId="77" fillId="10" borderId="41" applyNumberFormat="0" applyAlignment="0" applyProtection="0">
      <alignment vertical="center"/>
    </xf>
    <xf numFmtId="0" fontId="78" fillId="0" borderId="42" applyNumberFormat="0" applyFill="0" applyAlignment="0" applyProtection="0">
      <alignment vertical="center"/>
    </xf>
    <xf numFmtId="0" fontId="79" fillId="0" borderId="43" applyNumberFormat="0" applyFill="0" applyAlignment="0" applyProtection="0">
      <alignment vertical="center"/>
    </xf>
    <xf numFmtId="0" fontId="80" fillId="11" borderId="0" applyNumberFormat="0" applyBorder="0" applyAlignment="0" applyProtection="0">
      <alignment vertical="center"/>
    </xf>
    <xf numFmtId="0" fontId="81" fillId="12" borderId="0" applyNumberFormat="0" applyBorder="0" applyAlignment="0" applyProtection="0">
      <alignment vertical="center"/>
    </xf>
    <xf numFmtId="0" fontId="82" fillId="13" borderId="0" applyNumberFormat="0" applyBorder="0" applyAlignment="0" applyProtection="0">
      <alignment vertical="center"/>
    </xf>
    <xf numFmtId="0" fontId="83" fillId="14" borderId="0" applyNumberFormat="0" applyBorder="0" applyAlignment="0" applyProtection="0">
      <alignment vertical="center"/>
    </xf>
    <xf numFmtId="0" fontId="84" fillId="15" borderId="0" applyNumberFormat="0" applyBorder="0" applyAlignment="0" applyProtection="0">
      <alignment vertical="center"/>
    </xf>
    <xf numFmtId="0" fontId="84" fillId="16" borderId="0" applyNumberFormat="0" applyBorder="0" applyAlignment="0" applyProtection="0">
      <alignment vertical="center"/>
    </xf>
    <xf numFmtId="0" fontId="83" fillId="17" borderId="0" applyNumberFormat="0" applyBorder="0" applyAlignment="0" applyProtection="0">
      <alignment vertical="center"/>
    </xf>
    <xf numFmtId="0" fontId="83" fillId="18" borderId="0" applyNumberFormat="0" applyBorder="0" applyAlignment="0" applyProtection="0">
      <alignment vertical="center"/>
    </xf>
    <xf numFmtId="0" fontId="84" fillId="19" borderId="0" applyNumberFormat="0" applyBorder="0" applyAlignment="0" applyProtection="0">
      <alignment vertical="center"/>
    </xf>
    <xf numFmtId="0" fontId="84" fillId="20" borderId="0" applyNumberFormat="0" applyBorder="0" applyAlignment="0" applyProtection="0">
      <alignment vertical="center"/>
    </xf>
    <xf numFmtId="0" fontId="83" fillId="21" borderId="0" applyNumberFormat="0" applyBorder="0" applyAlignment="0" applyProtection="0">
      <alignment vertical="center"/>
    </xf>
    <xf numFmtId="0" fontId="83" fillId="22" borderId="0" applyNumberFormat="0" applyBorder="0" applyAlignment="0" applyProtection="0">
      <alignment vertical="center"/>
    </xf>
    <xf numFmtId="0" fontId="84" fillId="23" borderId="0" applyNumberFormat="0" applyBorder="0" applyAlignment="0" applyProtection="0">
      <alignment vertical="center"/>
    </xf>
    <xf numFmtId="0" fontId="84" fillId="24" borderId="0" applyNumberFormat="0" applyBorder="0" applyAlignment="0" applyProtection="0">
      <alignment vertical="center"/>
    </xf>
    <xf numFmtId="0" fontId="83" fillId="25" borderId="0" applyNumberFormat="0" applyBorder="0" applyAlignment="0" applyProtection="0">
      <alignment vertical="center"/>
    </xf>
    <xf numFmtId="0" fontId="83" fillId="26"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3" fillId="29" borderId="0" applyNumberFormat="0" applyBorder="0" applyAlignment="0" applyProtection="0">
      <alignment vertical="center"/>
    </xf>
    <xf numFmtId="0" fontId="83" fillId="30"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3" fillId="33" borderId="0" applyNumberFormat="0" applyBorder="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4" fillId="36" borderId="0" applyNumberFormat="0" applyBorder="0" applyAlignment="0" applyProtection="0">
      <alignment vertical="center"/>
    </xf>
    <xf numFmtId="0" fontId="83" fillId="37" borderId="0" applyNumberFormat="0" applyBorder="0" applyAlignment="0" applyProtection="0">
      <alignment vertical="center"/>
    </xf>
    <xf numFmtId="0" fontId="15" fillId="0" borderId="0"/>
    <xf numFmtId="0" fontId="15" fillId="0" borderId="0"/>
    <xf numFmtId="0" fontId="15" fillId="0" borderId="0"/>
  </cellStyleXfs>
  <cellXfs count="367">
    <xf numFmtId="0" fontId="0" fillId="0" borderId="0" xfId="0">
      <alignment vertical="center"/>
    </xf>
    <xf numFmtId="0" fontId="1" fillId="0" borderId="0" xfId="0" applyFont="1" applyFill="1" applyBorder="1" applyAlignment="1">
      <alignment horizontal="center" vertical="center"/>
    </xf>
    <xf numFmtId="0" fontId="2" fillId="0" borderId="1" xfId="0" applyNumberFormat="1" applyFont="1" applyFill="1" applyBorder="1" applyAlignment="1">
      <alignment horizontal="center" vertical="center"/>
    </xf>
    <xf numFmtId="0" fontId="3" fillId="0" borderId="1" xfId="0" applyNumberFormat="1" applyFont="1" applyFill="1" applyBorder="1" applyAlignment="1" applyProtection="1">
      <alignment horizontal="center" vertical="center" wrapText="1"/>
      <protection locked="0"/>
    </xf>
    <xf numFmtId="0" fontId="4" fillId="0" borderId="1" xfId="0" applyNumberFormat="1" applyFont="1" applyFill="1" applyBorder="1" applyAlignment="1">
      <alignment horizontal="center" vertical="center" wrapText="1"/>
    </xf>
    <xf numFmtId="0" fontId="4" fillId="2"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5" fillId="0" borderId="1" xfId="0" applyNumberFormat="1"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xf>
    <xf numFmtId="176" fontId="5" fillId="0" borderId="1" xfId="0" applyNumberFormat="1" applyFont="1" applyFill="1" applyBorder="1" applyAlignment="1">
      <alignment horizontal="center" vertical="center"/>
    </xf>
    <xf numFmtId="177" fontId="5" fillId="0" borderId="1" xfId="0" applyNumberFormat="1" applyFont="1" applyFill="1" applyBorder="1" applyAlignment="1">
      <alignment horizontal="center" vertical="center"/>
    </xf>
    <xf numFmtId="177" fontId="6" fillId="2" borderId="1" xfId="0" applyNumberFormat="1" applyFont="1" applyFill="1" applyBorder="1" applyAlignment="1">
      <alignment horizontal="center" vertical="center"/>
    </xf>
    <xf numFmtId="0" fontId="0" fillId="0" borderId="2" xfId="0" applyFill="1" applyBorder="1" applyAlignment="1">
      <alignment vertical="center"/>
    </xf>
    <xf numFmtId="176" fontId="5" fillId="0" borderId="2" xfId="0" applyNumberFormat="1" applyFont="1" applyFill="1" applyBorder="1" applyAlignment="1">
      <alignment horizontal="center" vertical="center"/>
    </xf>
    <xf numFmtId="0" fontId="2" fillId="0" borderId="1" xfId="0" applyFont="1" applyFill="1" applyBorder="1" applyAlignment="1">
      <alignment horizontal="center" vertical="center"/>
    </xf>
    <xf numFmtId="176" fontId="5" fillId="0" borderId="0" xfId="0" applyNumberFormat="1" applyFont="1" applyFill="1" applyBorder="1" applyAlignment="1">
      <alignment horizontal="center" vertical="center"/>
    </xf>
    <xf numFmtId="0" fontId="5" fillId="0" borderId="3" xfId="0" applyFont="1" applyFill="1" applyBorder="1" applyAlignment="1">
      <alignment horizontal="center" vertical="center"/>
    </xf>
    <xf numFmtId="0" fontId="7" fillId="0" borderId="1" xfId="0" applyFont="1" applyFill="1" applyBorder="1" applyAlignment="1">
      <alignment vertical="center"/>
    </xf>
    <xf numFmtId="177" fontId="7" fillId="0" borderId="1" xfId="0" applyNumberFormat="1" applyFont="1" applyFill="1" applyBorder="1" applyAlignment="1">
      <alignment vertical="center"/>
    </xf>
    <xf numFmtId="0" fontId="5" fillId="0" borderId="2" xfId="0" applyNumberFormat="1" applyFont="1" applyFill="1" applyBorder="1" applyAlignment="1" applyProtection="1">
      <alignment horizontal="center" vertical="center" wrapText="1"/>
      <protection locked="0"/>
    </xf>
    <xf numFmtId="0" fontId="5" fillId="0" borderId="4" xfId="0" applyFont="1" applyFill="1" applyBorder="1" applyAlignment="1">
      <alignment horizontal="center" vertical="center"/>
    </xf>
    <xf numFmtId="177" fontId="5" fillId="0" borderId="2" xfId="0" applyNumberFormat="1" applyFont="1" applyFill="1" applyBorder="1" applyAlignment="1">
      <alignment horizontal="center" vertical="center"/>
    </xf>
    <xf numFmtId="0" fontId="5" fillId="0" borderId="2" xfId="0" applyFont="1" applyFill="1" applyBorder="1" applyAlignment="1">
      <alignment horizontal="center" vertical="center"/>
    </xf>
    <xf numFmtId="176" fontId="8" fillId="0" borderId="1" xfId="0" applyNumberFormat="1" applyFont="1" applyFill="1" applyBorder="1" applyAlignment="1">
      <alignment vertical="center"/>
    </xf>
    <xf numFmtId="0" fontId="9" fillId="0" borderId="5" xfId="0" applyFont="1" applyFill="1" applyBorder="1" applyAlignment="1">
      <alignment horizontal="center" vertical="center"/>
    </xf>
    <xf numFmtId="0" fontId="10" fillId="0" borderId="6" xfId="0" applyFont="1" applyFill="1" applyBorder="1" applyAlignment="1">
      <alignment horizontal="center" vertical="center"/>
    </xf>
    <xf numFmtId="0" fontId="10" fillId="0" borderId="6" xfId="0" applyNumberFormat="1" applyFont="1" applyFill="1" applyBorder="1" applyAlignment="1">
      <alignment horizontal="center" vertical="center"/>
    </xf>
    <xf numFmtId="0" fontId="10" fillId="0" borderId="7" xfId="0" applyFont="1" applyFill="1" applyBorder="1" applyAlignment="1">
      <alignment horizontal="center" vertical="center"/>
    </xf>
    <xf numFmtId="0" fontId="2" fillId="0" borderId="8" xfId="0" applyFont="1" applyFill="1" applyBorder="1" applyAlignment="1">
      <alignment horizontal="center" vertical="center"/>
    </xf>
    <xf numFmtId="0" fontId="2" fillId="0" borderId="1" xfId="0" applyNumberFormat="1" applyFont="1" applyFill="1" applyBorder="1" applyAlignment="1">
      <alignment horizontal="left" vertical="center"/>
    </xf>
    <xf numFmtId="0" fontId="11" fillId="0" borderId="1" xfId="0" applyFont="1" applyFill="1" applyBorder="1" applyAlignment="1">
      <alignment horizontal="center" vertical="center"/>
    </xf>
    <xf numFmtId="0" fontId="2" fillId="0" borderId="9" xfId="0" applyNumberFormat="1" applyFont="1" applyFill="1" applyBorder="1" applyAlignment="1">
      <alignment horizontal="center" vertical="center"/>
    </xf>
    <xf numFmtId="0" fontId="12" fillId="0" borderId="1" xfId="0" applyFont="1" applyFill="1" applyBorder="1" applyAlignment="1"/>
    <xf numFmtId="0" fontId="13" fillId="0" borderId="1" xfId="0" applyFont="1" applyFill="1" applyBorder="1" applyAlignment="1">
      <alignment horizontal="center"/>
    </xf>
    <xf numFmtId="0" fontId="14" fillId="0" borderId="1" xfId="49" applyFont="1" applyFill="1" applyBorder="1" applyAlignment="1">
      <alignment horizontal="center" vertical="center" wrapText="1"/>
    </xf>
    <xf numFmtId="0" fontId="15" fillId="0" borderId="1" xfId="50" applyNumberFormat="1" applyFont="1" applyFill="1" applyBorder="1" applyAlignment="1">
      <alignment horizontal="center" vertical="center" wrapText="1"/>
    </xf>
    <xf numFmtId="0" fontId="16" fillId="0" borderId="1" xfId="0" applyFont="1" applyFill="1" applyBorder="1" applyAlignment="1">
      <alignment vertical="center"/>
    </xf>
    <xf numFmtId="0" fontId="10" fillId="0" borderId="1" xfId="0" applyFont="1" applyFill="1" applyBorder="1" applyAlignment="1">
      <alignment vertical="center"/>
    </xf>
    <xf numFmtId="0" fontId="17" fillId="0" borderId="1" xfId="0" applyFont="1" applyFill="1" applyBorder="1" applyAlignment="1"/>
    <xf numFmtId="0" fontId="11" fillId="0" borderId="1" xfId="0" applyNumberFormat="1" applyFont="1" applyFill="1" applyBorder="1" applyAlignment="1">
      <alignment horizontal="center"/>
    </xf>
    <xf numFmtId="0" fontId="18" fillId="0" borderId="1" xfId="0" applyFont="1" applyFill="1" applyBorder="1" applyAlignment="1">
      <alignment horizontal="center"/>
    </xf>
    <xf numFmtId="0" fontId="0" fillId="0" borderId="1" xfId="0" applyFill="1" applyBorder="1" applyAlignment="1">
      <alignment vertical="center"/>
    </xf>
    <xf numFmtId="0" fontId="0" fillId="0" borderId="1" xfId="0" applyFill="1" applyBorder="1" applyAlignment="1">
      <alignment horizontal="center" vertical="center"/>
    </xf>
    <xf numFmtId="0" fontId="0" fillId="0" borderId="0" xfId="0" applyFill="1" applyAlignment="1">
      <alignment vertical="center"/>
    </xf>
    <xf numFmtId="0" fontId="19" fillId="0" borderId="10" xfId="0" applyFont="1" applyFill="1" applyBorder="1" applyAlignment="1">
      <alignment horizontal="center" vertical="center"/>
    </xf>
    <xf numFmtId="0" fontId="19" fillId="0" borderId="11" xfId="0" applyFont="1" applyFill="1" applyBorder="1" applyAlignment="1">
      <alignment horizontal="center" vertical="center"/>
    </xf>
    <xf numFmtId="0" fontId="19" fillId="0"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176" fontId="2" fillId="0" borderId="1" xfId="0" applyNumberFormat="1" applyFont="1" applyFill="1" applyBorder="1" applyAlignment="1">
      <alignment vertical="center"/>
    </xf>
    <xf numFmtId="0" fontId="16" fillId="0" borderId="1" xfId="0" applyFont="1" applyFill="1" applyBorder="1" applyAlignment="1">
      <alignment horizontal="center" vertical="center"/>
    </xf>
    <xf numFmtId="176" fontId="2" fillId="0" borderId="1" xfId="0" applyNumberFormat="1" applyFont="1" applyFill="1" applyBorder="1" applyAlignment="1">
      <alignment horizontal="center" vertical="center"/>
    </xf>
    <xf numFmtId="176" fontId="2" fillId="0" borderId="2" xfId="0" applyNumberFormat="1" applyFont="1" applyFill="1" applyBorder="1" applyAlignment="1">
      <alignment horizontal="center" vertical="center"/>
    </xf>
    <xf numFmtId="0" fontId="19" fillId="0" borderId="0" xfId="0" applyFont="1" applyFill="1" applyAlignment="1">
      <alignment horizontal="center" vertical="center"/>
    </xf>
    <xf numFmtId="0" fontId="19" fillId="0" borderId="12" xfId="0" applyFont="1" applyFill="1" applyBorder="1" applyAlignment="1">
      <alignment horizontal="center" vertical="center"/>
    </xf>
    <xf numFmtId="0" fontId="19" fillId="0" borderId="4"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3" xfId="0" applyFont="1" applyFill="1" applyBorder="1" applyAlignment="1">
      <alignment horizontal="center" vertical="center"/>
    </xf>
    <xf numFmtId="0" fontId="16" fillId="0" borderId="0" xfId="0" applyFont="1" applyFill="1" applyBorder="1" applyAlignment="1">
      <alignment vertical="center"/>
    </xf>
    <xf numFmtId="0" fontId="20" fillId="4" borderId="1" xfId="0" applyFont="1" applyFill="1" applyBorder="1" applyAlignment="1">
      <alignment horizontal="center" vertical="center"/>
    </xf>
    <xf numFmtId="0" fontId="2" fillId="4" borderId="1" xfId="0" applyFont="1" applyFill="1" applyBorder="1" applyAlignment="1">
      <alignment horizontal="center" vertical="center"/>
    </xf>
    <xf numFmtId="176" fontId="2" fillId="4" borderId="1" xfId="0" applyNumberFormat="1" applyFont="1" applyFill="1" applyBorder="1" applyAlignment="1">
      <alignment horizontal="center" vertical="center"/>
    </xf>
    <xf numFmtId="176" fontId="16" fillId="4" borderId="1" xfId="0" applyNumberFormat="1" applyFont="1" applyFill="1" applyBorder="1" applyAlignment="1">
      <alignment horizontal="center" vertical="center"/>
    </xf>
    <xf numFmtId="0" fontId="16" fillId="0" borderId="0" xfId="0" applyFont="1" applyFill="1" applyAlignment="1">
      <alignment vertical="center"/>
    </xf>
    <xf numFmtId="0" fontId="20" fillId="0" borderId="0" xfId="0" applyFont="1" applyFill="1" applyAlignment="1">
      <alignment horizontal="center" vertical="center"/>
    </xf>
    <xf numFmtId="0" fontId="20" fillId="0" borderId="1" xfId="0" applyFont="1" applyFill="1" applyBorder="1" applyAlignment="1">
      <alignment horizontal="center" vertical="center"/>
    </xf>
    <xf numFmtId="0" fontId="21" fillId="0" borderId="14" xfId="0" applyFont="1" applyFill="1" applyBorder="1" applyAlignment="1">
      <alignment horizontal="center" vertical="center" wrapText="1"/>
    </xf>
    <xf numFmtId="0" fontId="21" fillId="0" borderId="1" xfId="0" applyFont="1" applyFill="1" applyBorder="1" applyAlignment="1">
      <alignment horizontal="center" vertical="center" wrapText="1"/>
    </xf>
    <xf numFmtId="0" fontId="21" fillId="0" borderId="15" xfId="0" applyFont="1" applyFill="1" applyBorder="1" applyAlignment="1">
      <alignment horizontal="center" vertical="center" wrapText="1"/>
    </xf>
    <xf numFmtId="0" fontId="21" fillId="0" borderId="6" xfId="0" applyFont="1" applyFill="1" applyBorder="1" applyAlignment="1">
      <alignment horizontal="center" vertical="center" wrapText="1"/>
    </xf>
    <xf numFmtId="0" fontId="21" fillId="0" borderId="16" xfId="0" applyFont="1" applyFill="1" applyBorder="1" applyAlignment="1">
      <alignment horizontal="center" vertical="center" wrapText="1"/>
    </xf>
    <xf numFmtId="0" fontId="21" fillId="0" borderId="7" xfId="0" applyFont="1" applyFill="1" applyBorder="1" applyAlignment="1">
      <alignment horizontal="left" vertical="center" wrapText="1"/>
    </xf>
    <xf numFmtId="0" fontId="3" fillId="5" borderId="17"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1"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4" fillId="0" borderId="17"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1" xfId="51" applyFont="1" applyFill="1" applyBorder="1" applyAlignment="1">
      <alignment horizontal="center" vertical="center" wrapText="1"/>
    </xf>
    <xf numFmtId="0" fontId="4" fillId="0" borderId="9" xfId="0" applyFont="1" applyFill="1" applyBorder="1" applyAlignment="1">
      <alignment horizontal="center" vertical="center" wrapText="1"/>
    </xf>
    <xf numFmtId="0" fontId="10" fillId="0" borderId="10" xfId="0" applyFont="1" applyFill="1" applyBorder="1" applyAlignment="1">
      <alignment horizontal="center" vertical="center" wrapText="1"/>
    </xf>
    <xf numFmtId="0" fontId="0" fillId="0" borderId="1" xfId="0" applyFill="1" applyBorder="1" applyAlignment="1">
      <alignment vertical="center" wrapText="1"/>
    </xf>
    <xf numFmtId="0" fontId="0" fillId="0" borderId="0" xfId="0" applyFill="1" applyAlignment="1">
      <alignment vertical="center" wrapText="1"/>
    </xf>
    <xf numFmtId="0" fontId="15" fillId="0" borderId="1" xfId="51" applyFont="1" applyFill="1" applyBorder="1" applyAlignment="1">
      <alignment horizontal="center" vertical="center" wrapText="1"/>
    </xf>
    <xf numFmtId="0" fontId="22" fillId="0" borderId="3" xfId="0" applyFont="1" applyFill="1" applyBorder="1" applyAlignment="1">
      <alignment vertical="center" wrapText="1"/>
    </xf>
    <xf numFmtId="0" fontId="22" fillId="0" borderId="1" xfId="0" applyFont="1" applyFill="1" applyBorder="1" applyAlignment="1">
      <alignment vertical="center" wrapText="1"/>
    </xf>
    <xf numFmtId="0" fontId="10" fillId="0" borderId="1" xfId="0" applyFont="1" applyFill="1" applyBorder="1" applyAlignment="1">
      <alignment horizontal="center" vertical="center" wrapText="1"/>
    </xf>
    <xf numFmtId="0" fontId="2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5" borderId="19" xfId="0" applyFont="1" applyFill="1" applyBorder="1" applyAlignment="1">
      <alignment horizontal="center" vertical="center" wrapText="1"/>
    </xf>
    <xf numFmtId="0" fontId="3" fillId="5" borderId="20" xfId="0" applyFont="1" applyFill="1" applyBorder="1" applyAlignment="1">
      <alignment horizontal="center" vertical="center" wrapText="1"/>
    </xf>
    <xf numFmtId="0" fontId="14" fillId="0" borderId="17" xfId="0" applyFont="1" applyFill="1" applyBorder="1" applyAlignment="1">
      <alignment vertical="center" wrapText="1"/>
    </xf>
    <xf numFmtId="0" fontId="14" fillId="0" borderId="1" xfId="0" applyFont="1" applyFill="1" applyBorder="1" applyAlignment="1">
      <alignment horizontal="center" vertical="center" wrapText="1"/>
    </xf>
    <xf numFmtId="0" fontId="23" fillId="0" borderId="3" xfId="0" applyFont="1" applyFill="1" applyBorder="1" applyAlignment="1">
      <alignment horizontal="center" vertical="center" wrapText="1"/>
    </xf>
    <xf numFmtId="0" fontId="14" fillId="0" borderId="1" xfId="51" applyFont="1" applyFill="1" applyBorder="1" applyAlignment="1">
      <alignment horizontal="center" vertical="center" wrapText="1"/>
    </xf>
    <xf numFmtId="0" fontId="14" fillId="0" borderId="10" xfId="51" applyFont="1" applyFill="1" applyBorder="1" applyAlignment="1">
      <alignment horizontal="center" vertical="center" wrapText="1"/>
    </xf>
    <xf numFmtId="0" fontId="14" fillId="0" borderId="9" xfId="0" applyFont="1" applyFill="1" applyBorder="1" applyAlignment="1">
      <alignment horizontal="center" vertical="center" wrapText="1"/>
    </xf>
    <xf numFmtId="0" fontId="24" fillId="0" borderId="10" xfId="49" applyFont="1" applyFill="1" applyBorder="1" applyAlignment="1">
      <alignment horizontal="center" vertical="center" wrapText="1"/>
    </xf>
    <xf numFmtId="0" fontId="24" fillId="0" borderId="1" xfId="50" applyNumberFormat="1" applyFont="1" applyFill="1" applyBorder="1" applyAlignment="1">
      <alignment horizontal="center" vertical="center" wrapText="1"/>
    </xf>
    <xf numFmtId="0" fontId="25" fillId="0" borderId="1" xfId="50" applyNumberFormat="1" applyFont="1" applyFill="1" applyBorder="1" applyAlignment="1">
      <alignment horizontal="center" vertical="center" wrapText="1"/>
    </xf>
    <xf numFmtId="0" fontId="0" fillId="0" borderId="1" xfId="0" applyFont="1" applyFill="1" applyBorder="1" applyAlignment="1">
      <alignment horizontal="center" vertical="center" wrapText="1"/>
    </xf>
    <xf numFmtId="0" fontId="26" fillId="0" borderId="21" xfId="49" applyFont="1" applyFill="1" applyBorder="1" applyAlignment="1">
      <alignment horizontal="center" vertical="center" wrapText="1"/>
    </xf>
    <xf numFmtId="0" fontId="22" fillId="0" borderId="1" xfId="0" applyFont="1" applyFill="1" applyBorder="1" applyAlignment="1">
      <alignment horizontal="center" vertical="center" wrapText="1"/>
    </xf>
    <xf numFmtId="0" fontId="2" fillId="0" borderId="22" xfId="0" applyFont="1" applyFill="1" applyBorder="1" applyAlignment="1">
      <alignment horizontal="center" vertical="center" wrapText="1"/>
    </xf>
    <xf numFmtId="0" fontId="2" fillId="0" borderId="23" xfId="0" applyFont="1" applyFill="1" applyBorder="1" applyAlignment="1">
      <alignment horizontal="left" vertical="center" wrapText="1"/>
    </xf>
    <xf numFmtId="0" fontId="2" fillId="0" borderId="21" xfId="0" applyFont="1" applyFill="1" applyBorder="1" applyAlignment="1">
      <alignment horizontal="center" vertical="center" wrapText="1"/>
    </xf>
    <xf numFmtId="0" fontId="2" fillId="0" borderId="24"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23" xfId="0" applyFont="1" applyFill="1" applyBorder="1" applyAlignment="1">
      <alignment horizontal="center" vertical="center" wrapText="1"/>
    </xf>
    <xf numFmtId="0" fontId="0" fillId="0" borderId="0" xfId="0" applyFill="1" applyBorder="1" applyAlignment="1">
      <alignment vertical="center" wrapText="1"/>
    </xf>
    <xf numFmtId="0" fontId="27" fillId="0" borderId="1" xfId="0" applyFont="1" applyFill="1" applyBorder="1" applyAlignment="1">
      <alignment horizontal="center" vertical="center" wrapText="1"/>
    </xf>
    <xf numFmtId="0" fontId="27" fillId="0" borderId="1" xfId="0" applyFont="1" applyFill="1" applyBorder="1" applyAlignment="1">
      <alignment horizontal="left" vertical="center" wrapText="1"/>
    </xf>
    <xf numFmtId="0" fontId="3" fillId="5" borderId="2" xfId="0" applyFont="1" applyFill="1" applyBorder="1" applyAlignment="1">
      <alignment horizontal="center" vertical="center" wrapText="1"/>
    </xf>
    <xf numFmtId="0" fontId="3" fillId="5" borderId="25" xfId="0" applyFont="1" applyFill="1" applyBorder="1" applyAlignment="1">
      <alignment horizontal="center" vertical="center" wrapText="1"/>
    </xf>
    <xf numFmtId="0" fontId="14" fillId="0" borderId="17" xfId="0" applyFont="1" applyFill="1" applyBorder="1" applyAlignment="1">
      <alignment horizontal="center" vertical="center" wrapText="1"/>
    </xf>
    <xf numFmtId="0" fontId="14" fillId="0" borderId="3" xfId="0" applyFont="1" applyFill="1" applyBorder="1" applyAlignment="1">
      <alignment horizontal="center" vertical="center" wrapText="1"/>
    </xf>
    <xf numFmtId="0" fontId="16" fillId="0" borderId="17" xfId="0" applyFont="1" applyFill="1" applyBorder="1" applyAlignment="1">
      <alignment horizontal="center" vertical="center" wrapText="1"/>
    </xf>
    <xf numFmtId="0" fontId="16" fillId="0" borderId="3" xfId="49" applyFont="1" applyFill="1" applyBorder="1" applyAlignment="1">
      <alignment horizontal="center" vertical="center" wrapText="1"/>
    </xf>
    <xf numFmtId="0" fontId="28" fillId="0" borderId="1" xfId="0" applyNumberFormat="1" applyFont="1" applyFill="1" applyBorder="1" applyAlignment="1">
      <alignment horizontal="center" vertical="center" wrapText="1"/>
    </xf>
    <xf numFmtId="0" fontId="14" fillId="0" borderId="1" xfId="50" applyNumberFormat="1" applyFont="1" applyFill="1" applyBorder="1" applyAlignment="1">
      <alignment horizontal="center" vertical="center" wrapText="1"/>
    </xf>
    <xf numFmtId="0" fontId="15" fillId="0" borderId="9" xfId="51" applyFont="1" applyFill="1" applyBorder="1" applyAlignment="1">
      <alignment horizontal="center" vertical="center" wrapText="1"/>
    </xf>
    <xf numFmtId="0" fontId="16" fillId="0" borderId="10" xfId="0" applyFont="1" applyFill="1" applyBorder="1" applyAlignment="1">
      <alignment horizontal="center" vertical="center" wrapText="1"/>
    </xf>
    <xf numFmtId="0" fontId="15" fillId="0" borderId="1" xfId="51" applyNumberFormat="1" applyFont="1" applyFill="1" applyBorder="1" applyAlignment="1">
      <alignment horizontal="center" vertical="center" wrapText="1"/>
    </xf>
    <xf numFmtId="0" fontId="23" fillId="0" borderId="9"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16" fillId="0" borderId="1" xfId="49" applyFont="1" applyFill="1" applyBorder="1" applyAlignment="1">
      <alignment horizontal="center" vertical="center" wrapText="1"/>
    </xf>
    <xf numFmtId="0" fontId="10" fillId="0" borderId="1" xfId="49" applyFont="1" applyFill="1" applyBorder="1" applyAlignment="1">
      <alignment horizontal="center" vertical="center" wrapText="1"/>
    </xf>
    <xf numFmtId="0" fontId="29" fillId="0" borderId="1" xfId="0" applyNumberFormat="1" applyFont="1" applyFill="1" applyBorder="1" applyAlignment="1">
      <alignment horizontal="center" vertical="center" wrapText="1"/>
    </xf>
    <xf numFmtId="0" fontId="0" fillId="0" borderId="9" xfId="0" applyFont="1" applyFill="1" applyBorder="1" applyAlignment="1">
      <alignment horizontal="center" vertical="center" wrapText="1"/>
    </xf>
    <xf numFmtId="0" fontId="24" fillId="0" borderId="1" xfId="49" applyFont="1" applyFill="1" applyBorder="1" applyAlignment="1">
      <alignment horizontal="center" vertical="center" wrapText="1"/>
    </xf>
    <xf numFmtId="0" fontId="14" fillId="0" borderId="22" xfId="0" applyFont="1" applyFill="1" applyBorder="1" applyAlignment="1">
      <alignment horizontal="center" vertical="center" wrapText="1"/>
    </xf>
    <xf numFmtId="178" fontId="17" fillId="0" borderId="0" xfId="0" applyNumberFormat="1" applyFont="1" applyFill="1" applyAlignment="1"/>
    <xf numFmtId="0" fontId="27" fillId="0" borderId="0" xfId="0" applyFont="1" applyFill="1" applyBorder="1" applyAlignment="1">
      <alignment horizontal="center" vertical="center" wrapText="1"/>
    </xf>
    <xf numFmtId="0" fontId="27" fillId="0" borderId="0" xfId="0" applyFont="1" applyFill="1" applyBorder="1" applyAlignment="1">
      <alignment horizontal="left" vertical="center" wrapText="1"/>
    </xf>
    <xf numFmtId="0" fontId="14" fillId="0" borderId="11" xfId="0" applyFont="1" applyFill="1" applyBorder="1" applyAlignment="1">
      <alignment horizontal="center" vertical="center" wrapText="1"/>
    </xf>
    <xf numFmtId="0" fontId="30" fillId="0" borderId="10" xfId="0" applyFont="1" applyFill="1" applyBorder="1" applyAlignment="1">
      <alignment horizontal="center" wrapText="1"/>
    </xf>
    <xf numFmtId="0" fontId="0" fillId="0" borderId="2" xfId="0" applyFill="1" applyBorder="1" applyAlignment="1">
      <alignment vertical="center" wrapText="1"/>
    </xf>
    <xf numFmtId="0" fontId="23" fillId="0" borderId="2" xfId="0" applyFont="1" applyFill="1" applyBorder="1" applyAlignment="1">
      <alignment horizontal="center" vertical="center" wrapText="1"/>
    </xf>
    <xf numFmtId="0" fontId="31" fillId="0" borderId="10" xfId="0" applyFont="1" applyFill="1" applyBorder="1" applyAlignment="1">
      <alignment horizontal="center" wrapText="1"/>
    </xf>
    <xf numFmtId="0" fontId="10" fillId="0" borderId="13" xfId="0" applyFont="1" applyFill="1" applyBorder="1" applyAlignment="1">
      <alignment horizontal="center" vertical="center" wrapText="1"/>
    </xf>
    <xf numFmtId="0" fontId="10" fillId="0" borderId="21" xfId="0" applyFont="1" applyFill="1" applyBorder="1" applyAlignment="1">
      <alignment horizontal="left" vertical="center" wrapText="1"/>
    </xf>
    <xf numFmtId="0" fontId="10" fillId="0" borderId="21" xfId="0" applyFont="1" applyFill="1" applyBorder="1" applyAlignment="1">
      <alignment horizontal="center" vertical="center" wrapText="1"/>
    </xf>
    <xf numFmtId="0" fontId="10" fillId="0" borderId="22" xfId="0" applyFont="1" applyFill="1" applyBorder="1" applyAlignment="1">
      <alignment horizontal="center" vertical="center" wrapText="1"/>
    </xf>
    <xf numFmtId="0" fontId="0" fillId="0" borderId="1" xfId="0" applyFont="1" applyFill="1" applyBorder="1" applyAlignment="1">
      <alignment vertical="center" wrapText="1"/>
    </xf>
    <xf numFmtId="0" fontId="10" fillId="0" borderId="23" xfId="0" applyFont="1" applyFill="1" applyBorder="1" applyAlignment="1">
      <alignment horizontal="left" vertical="center" wrapText="1"/>
    </xf>
    <xf numFmtId="0" fontId="10" fillId="0" borderId="24" xfId="0" applyFont="1" applyFill="1" applyBorder="1" applyAlignment="1">
      <alignment horizontal="left" vertical="center" wrapText="1"/>
    </xf>
    <xf numFmtId="0" fontId="32" fillId="0" borderId="1" xfId="0" applyFont="1" applyFill="1" applyBorder="1" applyAlignment="1">
      <alignment horizontal="center" vertical="center" wrapText="1"/>
    </xf>
    <xf numFmtId="0" fontId="32" fillId="0" borderId="1" xfId="0" applyFont="1" applyFill="1" applyBorder="1" applyAlignment="1">
      <alignment horizontal="left" vertical="center" wrapText="1"/>
    </xf>
    <xf numFmtId="0" fontId="33" fillId="0" borderId="1" xfId="0" applyFont="1" applyFill="1" applyBorder="1" applyAlignment="1">
      <alignment vertical="center" wrapText="1"/>
    </xf>
    <xf numFmtId="0" fontId="34" fillId="0" borderId="1" xfId="0" applyNumberFormat="1" applyFont="1" applyFill="1" applyBorder="1" applyAlignment="1">
      <alignment horizontal="center" vertical="center" wrapText="1"/>
    </xf>
    <xf numFmtId="0" fontId="16" fillId="0" borderId="1" xfId="50" applyNumberFormat="1" applyFont="1" applyFill="1" applyBorder="1" applyAlignment="1">
      <alignment horizontal="center" vertical="center" wrapText="1"/>
    </xf>
    <xf numFmtId="0" fontId="35" fillId="0" borderId="1" xfId="0" applyFont="1" applyFill="1" applyBorder="1" applyAlignment="1">
      <alignment wrapText="1"/>
    </xf>
    <xf numFmtId="0" fontId="16" fillId="0" borderId="4" xfId="49" applyFont="1" applyFill="1" applyBorder="1" applyAlignment="1">
      <alignment horizontal="center" vertical="center" wrapText="1"/>
    </xf>
    <xf numFmtId="0" fontId="34" fillId="0" borderId="2" xfId="0" applyNumberFormat="1" applyFont="1" applyFill="1" applyBorder="1" applyAlignment="1">
      <alignment horizontal="center" vertical="center" wrapText="1"/>
    </xf>
    <xf numFmtId="0" fontId="26" fillId="0" borderId="1" xfId="51" applyNumberFormat="1" applyFont="1" applyFill="1" applyBorder="1" applyAlignment="1">
      <alignment horizontal="center" vertical="center" wrapText="1"/>
    </xf>
    <xf numFmtId="0" fontId="36" fillId="0" borderId="1" xfId="0" applyFont="1" applyFill="1" applyBorder="1" applyAlignment="1">
      <alignment horizontal="center" vertical="center" wrapText="1"/>
    </xf>
    <xf numFmtId="0" fontId="36" fillId="0" borderId="9" xfId="0" applyFont="1" applyFill="1" applyBorder="1" applyAlignment="1">
      <alignment horizontal="center" vertical="center" wrapText="1"/>
    </xf>
    <xf numFmtId="0" fontId="33" fillId="0" borderId="1" xfId="0" applyFont="1" applyFill="1" applyBorder="1" applyAlignment="1">
      <alignment vertical="center"/>
    </xf>
    <xf numFmtId="0" fontId="36" fillId="0" borderId="3" xfId="0" applyFont="1" applyFill="1" applyBorder="1" applyAlignment="1">
      <alignment horizontal="center" vertical="center" wrapText="1"/>
    </xf>
    <xf numFmtId="0" fontId="15" fillId="0" borderId="11" xfId="49" applyFont="1" applyFill="1" applyBorder="1" applyAlignment="1">
      <alignment horizontal="center" vertical="center" wrapText="1"/>
    </xf>
    <xf numFmtId="0" fontId="0" fillId="0" borderId="1" xfId="0"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3" xfId="0" applyFont="1" applyFill="1" applyBorder="1" applyAlignment="1">
      <alignment horizontal="left" vertical="center" wrapText="1"/>
    </xf>
    <xf numFmtId="0" fontId="2" fillId="0" borderId="10" xfId="0" applyFont="1" applyFill="1" applyBorder="1" applyAlignment="1">
      <alignment horizontal="left" vertical="center" wrapText="1"/>
    </xf>
    <xf numFmtId="0" fontId="37" fillId="0" borderId="1" xfId="0" applyFont="1" applyFill="1" applyBorder="1" applyAlignment="1">
      <alignment wrapText="1"/>
    </xf>
    <xf numFmtId="0" fontId="38" fillId="0" borderId="23" xfId="0" applyFont="1" applyFill="1" applyBorder="1" applyAlignment="1">
      <alignment horizontal="left" vertical="center" wrapText="1"/>
    </xf>
    <xf numFmtId="0" fontId="39" fillId="0" borderId="1" xfId="0" applyNumberFormat="1" applyFont="1" applyFill="1" applyBorder="1" applyAlignment="1">
      <alignment horizontal="center" vertical="center" wrapText="1"/>
    </xf>
    <xf numFmtId="0" fontId="40" fillId="0" borderId="1" xfId="50" applyNumberFormat="1" applyFont="1" applyFill="1" applyBorder="1" applyAlignment="1">
      <alignment horizontal="center" vertical="center" wrapText="1"/>
    </xf>
    <xf numFmtId="0" fontId="41" fillId="0" borderId="1" xfId="0" applyFont="1" applyFill="1" applyBorder="1" applyAlignment="1">
      <alignment vertical="center" wrapText="1"/>
    </xf>
    <xf numFmtId="0" fontId="38" fillId="0" borderId="3" xfId="0" applyFont="1" applyFill="1" applyBorder="1" applyAlignment="1">
      <alignment horizontal="left" vertical="center" wrapText="1"/>
    </xf>
    <xf numFmtId="0" fontId="42" fillId="0" borderId="1" xfId="51" applyNumberFormat="1" applyFont="1" applyFill="1" applyBorder="1" applyAlignment="1">
      <alignment horizontal="center" vertical="center" wrapText="1"/>
    </xf>
    <xf numFmtId="0" fontId="42" fillId="0" borderId="1" xfId="50" applyNumberFormat="1" applyFont="1" applyFill="1" applyBorder="1" applyAlignment="1">
      <alignment horizontal="center" vertical="center" wrapText="1"/>
    </xf>
    <xf numFmtId="0" fontId="3" fillId="0" borderId="3" xfId="0" applyFont="1" applyFill="1" applyBorder="1" applyAlignment="1">
      <alignment horizontal="center" vertical="center" wrapText="1"/>
    </xf>
    <xf numFmtId="0" fontId="14" fillId="0" borderId="10" xfId="0" applyFont="1" applyFill="1" applyBorder="1" applyAlignment="1">
      <alignment horizontal="center" vertical="center" wrapText="1"/>
    </xf>
    <xf numFmtId="0" fontId="40" fillId="0" borderId="1" xfId="0" applyFont="1" applyFill="1" applyBorder="1" applyAlignment="1">
      <alignment horizontal="left" vertical="center" wrapText="1"/>
    </xf>
    <xf numFmtId="0" fontId="14" fillId="0" borderId="3" xfId="49" applyFont="1" applyFill="1" applyBorder="1" applyAlignment="1">
      <alignment horizontal="center" vertical="center" wrapText="1"/>
    </xf>
    <xf numFmtId="0" fontId="36" fillId="0" borderId="10" xfId="0" applyFont="1" applyFill="1" applyBorder="1" applyAlignment="1">
      <alignment horizontal="center" vertical="center" wrapText="1"/>
    </xf>
    <xf numFmtId="0" fontId="43" fillId="0" borderId="1" xfId="0" applyFont="1" applyFill="1" applyBorder="1" applyAlignment="1">
      <alignment horizontal="center" vertical="center" wrapText="1"/>
    </xf>
    <xf numFmtId="0" fontId="44" fillId="0" borderId="1" xfId="0" applyFont="1" applyFill="1" applyBorder="1" applyAlignment="1">
      <alignment horizontal="left" wrapText="1"/>
    </xf>
    <xf numFmtId="0" fontId="45" fillId="0" borderId="1" xfId="0" applyFont="1" applyFill="1" applyBorder="1" applyAlignment="1">
      <alignment horizontal="left" vertical="center" wrapText="1"/>
    </xf>
    <xf numFmtId="0" fontId="45" fillId="0"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31" fillId="0" borderId="1" xfId="0" applyFont="1" applyFill="1" applyBorder="1" applyAlignment="1">
      <alignment horizontal="center" wrapText="1"/>
    </xf>
    <xf numFmtId="0" fontId="46" fillId="0" borderId="1" xfId="0" applyFont="1" applyFill="1" applyBorder="1" applyAlignment="1">
      <alignment horizontal="left" wrapText="1"/>
    </xf>
    <xf numFmtId="0" fontId="0" fillId="6" borderId="1" xfId="0" applyFill="1" applyBorder="1" applyAlignment="1">
      <alignment horizontal="center" vertical="center" wrapText="1"/>
    </xf>
    <xf numFmtId="0" fontId="47" fillId="0" borderId="1" xfId="0" applyFont="1" applyFill="1" applyBorder="1" applyAlignment="1">
      <alignment horizontal="left" wrapText="1"/>
    </xf>
    <xf numFmtId="0" fontId="48" fillId="0" borderId="1" xfId="0" applyFont="1" applyFill="1" applyBorder="1" applyAlignment="1">
      <alignment horizontal="center" vertical="center" wrapText="1"/>
    </xf>
    <xf numFmtId="0" fontId="48" fillId="0" borderId="1" xfId="0" applyFont="1" applyFill="1" applyBorder="1" applyAlignment="1">
      <alignment horizontal="left" vertical="center" wrapText="1"/>
    </xf>
    <xf numFmtId="0" fontId="48" fillId="0" borderId="11" xfId="0" applyFont="1" applyFill="1" applyBorder="1" applyAlignment="1">
      <alignment horizontal="center" vertical="center" wrapText="1"/>
    </xf>
    <xf numFmtId="0" fontId="14" fillId="0" borderId="1" xfId="0" applyFont="1" applyFill="1" applyBorder="1" applyAlignment="1">
      <alignment horizontal="left" vertical="center" wrapText="1"/>
    </xf>
    <xf numFmtId="0" fontId="13" fillId="0" borderId="1" xfId="0" applyFont="1" applyFill="1" applyBorder="1" applyAlignment="1"/>
    <xf numFmtId="0" fontId="15" fillId="0" borderId="10" xfId="49" applyFont="1" applyFill="1" applyBorder="1" applyAlignment="1">
      <alignment horizontal="center" vertical="center" wrapText="1"/>
    </xf>
    <xf numFmtId="0" fontId="49" fillId="0" borderId="1" xfId="0" applyFont="1" applyFill="1" applyBorder="1" applyAlignment="1">
      <alignment horizontal="left" wrapText="1"/>
    </xf>
    <xf numFmtId="0" fontId="0" fillId="0" borderId="18" xfId="0" applyFont="1" applyFill="1" applyBorder="1" applyAlignment="1">
      <alignment horizontal="center" vertical="center" wrapText="1"/>
    </xf>
    <xf numFmtId="0" fontId="48" fillId="0" borderId="1" xfId="49" applyFont="1" applyFill="1" applyBorder="1" applyAlignment="1">
      <alignment horizontal="center" vertical="center" wrapText="1"/>
    </xf>
    <xf numFmtId="0" fontId="48" fillId="0" borderId="18" xfId="0" applyFont="1" applyFill="1" applyBorder="1" applyAlignment="1">
      <alignment horizontal="center" vertical="center" wrapText="1"/>
    </xf>
    <xf numFmtId="0" fontId="0" fillId="0" borderId="0" xfId="0" applyFont="1" applyFill="1" applyAlignment="1">
      <alignment horizontal="center" vertical="center" wrapText="1"/>
    </xf>
    <xf numFmtId="0" fontId="38" fillId="0" borderId="22" xfId="0" applyFont="1" applyFill="1" applyBorder="1" applyAlignment="1">
      <alignment horizontal="center" vertical="center" wrapText="1"/>
    </xf>
    <xf numFmtId="0" fontId="38" fillId="0" borderId="1" xfId="0" applyFont="1" applyFill="1" applyBorder="1" applyAlignment="1">
      <alignment horizontal="center" vertical="center" wrapText="1"/>
    </xf>
    <xf numFmtId="0" fontId="38" fillId="0" borderId="23" xfId="0" applyFont="1" applyFill="1" applyBorder="1" applyAlignment="1">
      <alignment horizontal="center" vertical="center" wrapText="1"/>
    </xf>
    <xf numFmtId="0" fontId="38" fillId="0" borderId="13" xfId="0" applyFont="1" applyFill="1" applyBorder="1" applyAlignment="1">
      <alignment horizontal="center" vertical="center" wrapText="1"/>
    </xf>
    <xf numFmtId="0" fontId="38" fillId="0" borderId="21" xfId="0" applyFont="1" applyFill="1" applyBorder="1" applyAlignment="1">
      <alignment horizontal="center" vertical="center" wrapText="1"/>
    </xf>
    <xf numFmtId="0" fontId="38" fillId="0" borderId="24" xfId="0" applyFont="1" applyFill="1" applyBorder="1" applyAlignment="1">
      <alignment horizontal="left" vertical="center" wrapText="1"/>
    </xf>
    <xf numFmtId="0" fontId="38" fillId="0" borderId="1" xfId="0" applyFont="1" applyFill="1" applyBorder="1" applyAlignment="1">
      <alignment horizontal="left" vertical="center" wrapText="1"/>
    </xf>
    <xf numFmtId="0" fontId="38" fillId="0" borderId="21" xfId="0" applyFont="1" applyFill="1" applyBorder="1" applyAlignment="1">
      <alignment horizontal="left" vertical="center" wrapText="1"/>
    </xf>
    <xf numFmtId="0" fontId="50" fillId="0" borderId="1" xfId="0" applyFont="1" applyFill="1" applyBorder="1" applyAlignment="1">
      <alignment vertical="center" wrapText="1"/>
    </xf>
    <xf numFmtId="0" fontId="38" fillId="0" borderId="22" xfId="0" applyFont="1" applyFill="1" applyBorder="1" applyAlignment="1">
      <alignment horizontal="left" vertical="center" wrapText="1"/>
    </xf>
    <xf numFmtId="0" fontId="38" fillId="0" borderId="26" xfId="0" applyFont="1" applyFill="1" applyBorder="1" applyAlignment="1">
      <alignment horizontal="left" vertical="center" wrapText="1"/>
    </xf>
    <xf numFmtId="0" fontId="38" fillId="0" borderId="27" xfId="0" applyFont="1" applyFill="1" applyBorder="1" applyAlignment="1">
      <alignment horizontal="left" vertical="center" wrapText="1"/>
    </xf>
    <xf numFmtId="0" fontId="38" fillId="0" borderId="28" xfId="0" applyFont="1" applyFill="1" applyBorder="1" applyAlignment="1">
      <alignment horizontal="center" vertical="center" wrapText="1"/>
    </xf>
    <xf numFmtId="0" fontId="38" fillId="0" borderId="28" xfId="0" applyFont="1" applyFill="1" applyBorder="1" applyAlignment="1">
      <alignment horizontal="left" vertical="center" wrapText="1"/>
    </xf>
    <xf numFmtId="0" fontId="38" fillId="0" borderId="29" xfId="0" applyFont="1" applyFill="1" applyBorder="1" applyAlignment="1">
      <alignment horizontal="left" vertical="center" wrapText="1"/>
    </xf>
    <xf numFmtId="0" fontId="38" fillId="0" borderId="30" xfId="0" applyFont="1" applyFill="1" applyBorder="1" applyAlignment="1">
      <alignment horizontal="left" vertical="center" wrapText="1"/>
    </xf>
    <xf numFmtId="0" fontId="32" fillId="0" borderId="14" xfId="0" applyFont="1" applyFill="1" applyBorder="1" applyAlignment="1">
      <alignment horizontal="center" vertical="center" wrapText="1"/>
    </xf>
    <xf numFmtId="0" fontId="32" fillId="0" borderId="15" xfId="0" applyFont="1" applyFill="1" applyBorder="1" applyAlignment="1">
      <alignment horizontal="center" vertical="center" wrapText="1"/>
    </xf>
    <xf numFmtId="0" fontId="32" fillId="0" borderId="6" xfId="0" applyFont="1" applyFill="1" applyBorder="1" applyAlignment="1">
      <alignment horizontal="center" vertical="center" wrapText="1"/>
    </xf>
    <xf numFmtId="0" fontId="32" fillId="0" borderId="16" xfId="0" applyFont="1" applyFill="1" applyBorder="1" applyAlignment="1">
      <alignment horizontal="center" vertical="center" wrapText="1"/>
    </xf>
    <xf numFmtId="0" fontId="32" fillId="0" borderId="7" xfId="0" applyFont="1" applyFill="1" applyBorder="1" applyAlignment="1">
      <alignment horizontal="left" vertical="center" wrapText="1"/>
    </xf>
    <xf numFmtId="0" fontId="13" fillId="0" borderId="1" xfId="0" applyFont="1" applyFill="1" applyBorder="1" applyAlignment="1">
      <alignment wrapText="1"/>
    </xf>
    <xf numFmtId="0" fontId="51" fillId="0" borderId="1" xfId="0" applyNumberFormat="1" applyFont="1" applyFill="1" applyBorder="1" applyAlignment="1">
      <alignment horizontal="center" vertical="center" wrapText="1"/>
    </xf>
    <xf numFmtId="0" fontId="0" fillId="6" borderId="1" xfId="0" applyFont="1" applyFill="1" applyBorder="1" applyAlignment="1">
      <alignment horizontal="center" vertical="center" wrapText="1"/>
    </xf>
    <xf numFmtId="0" fontId="12" fillId="0" borderId="1" xfId="0" applyFont="1" applyFill="1" applyBorder="1" applyAlignment="1">
      <alignment wrapText="1"/>
    </xf>
    <xf numFmtId="0" fontId="27" fillId="0" borderId="14" xfId="0" applyFont="1" applyFill="1" applyBorder="1" applyAlignment="1">
      <alignment horizontal="center" vertical="center" wrapText="1"/>
    </xf>
    <xf numFmtId="0" fontId="27" fillId="0" borderId="15" xfId="0" applyFont="1" applyFill="1" applyBorder="1" applyAlignment="1">
      <alignment horizontal="center" vertical="center" wrapText="1"/>
    </xf>
    <xf numFmtId="0" fontId="27" fillId="0" borderId="6" xfId="0" applyFont="1" applyFill="1" applyBorder="1" applyAlignment="1">
      <alignment horizontal="center" vertical="center" wrapText="1"/>
    </xf>
    <xf numFmtId="0" fontId="27" fillId="0" borderId="16" xfId="0" applyFont="1" applyFill="1" applyBorder="1" applyAlignment="1">
      <alignment horizontal="center" vertical="center" wrapText="1"/>
    </xf>
    <xf numFmtId="0" fontId="27" fillId="0" borderId="7" xfId="0" applyFont="1" applyFill="1" applyBorder="1" applyAlignment="1">
      <alignment horizontal="left" vertical="center" wrapText="1"/>
    </xf>
    <xf numFmtId="0" fontId="30" fillId="0" borderId="1" xfId="0" applyFont="1" applyFill="1" applyBorder="1" applyAlignment="1">
      <alignment horizontal="center" wrapText="1"/>
    </xf>
    <xf numFmtId="0" fontId="26" fillId="0" borderId="1" xfId="51" applyFont="1" applyFill="1" applyBorder="1" applyAlignment="1">
      <alignment horizontal="center" vertical="center" wrapText="1"/>
    </xf>
    <xf numFmtId="0" fontId="52" fillId="0" borderId="1" xfId="51" applyFont="1" applyFill="1" applyBorder="1" applyAlignment="1">
      <alignment horizontal="center" vertical="center" wrapText="1"/>
    </xf>
    <xf numFmtId="0" fontId="26" fillId="0" borderId="1" xfId="50" applyNumberFormat="1" applyFont="1" applyFill="1" applyBorder="1" applyAlignment="1">
      <alignment horizontal="center" vertical="center" wrapText="1"/>
    </xf>
    <xf numFmtId="0" fontId="53" fillId="0" borderId="1" xfId="0" applyFont="1" applyFill="1" applyBorder="1" applyAlignment="1">
      <alignment horizontal="center" vertical="center" wrapText="1"/>
    </xf>
    <xf numFmtId="0" fontId="48" fillId="0" borderId="10" xfId="0" applyFont="1" applyFill="1" applyBorder="1" applyAlignment="1">
      <alignment horizontal="center" vertical="center" wrapText="1"/>
    </xf>
    <xf numFmtId="0" fontId="53" fillId="0" borderId="1" xfId="0" applyFont="1" applyFill="1" applyBorder="1" applyAlignment="1">
      <alignment horizontal="left" vertical="center" wrapText="1"/>
    </xf>
    <xf numFmtId="0" fontId="0" fillId="0" borderId="13" xfId="0" applyFont="1" applyFill="1" applyBorder="1" applyAlignment="1">
      <alignment horizontal="center" vertical="center" wrapText="1"/>
    </xf>
    <xf numFmtId="0" fontId="2" fillId="0" borderId="22" xfId="0" applyFont="1" applyFill="1" applyBorder="1" applyAlignment="1">
      <alignment horizontal="left" vertical="center" wrapText="1"/>
    </xf>
    <xf numFmtId="0" fontId="2" fillId="0" borderId="21" xfId="0" applyFont="1" applyFill="1" applyBorder="1" applyAlignment="1">
      <alignment horizontal="left" vertical="center" wrapText="1"/>
    </xf>
    <xf numFmtId="0" fontId="2" fillId="0" borderId="13" xfId="0" applyFont="1" applyFill="1" applyBorder="1" applyAlignment="1">
      <alignment horizontal="center" vertical="center" wrapText="1"/>
    </xf>
    <xf numFmtId="0" fontId="2" fillId="0" borderId="26" xfId="0" applyFont="1" applyFill="1" applyBorder="1" applyAlignment="1">
      <alignment horizontal="left" vertical="center" wrapText="1"/>
    </xf>
    <xf numFmtId="0" fontId="2" fillId="0" borderId="27" xfId="0" applyFont="1" applyFill="1" applyBorder="1" applyAlignment="1">
      <alignment horizontal="left" vertical="center" wrapText="1"/>
    </xf>
    <xf numFmtId="0" fontId="2" fillId="0" borderId="28" xfId="0" applyFont="1" applyFill="1" applyBorder="1" applyAlignment="1">
      <alignment horizontal="center" vertical="center" wrapText="1"/>
    </xf>
    <xf numFmtId="0" fontId="2" fillId="0" borderId="28" xfId="0" applyFont="1" applyFill="1" applyBorder="1" applyAlignment="1">
      <alignment horizontal="left" vertical="center" wrapText="1"/>
    </xf>
    <xf numFmtId="0" fontId="2" fillId="0" borderId="29" xfId="0" applyFont="1" applyFill="1" applyBorder="1" applyAlignment="1">
      <alignment horizontal="left" vertical="center" wrapText="1"/>
    </xf>
    <xf numFmtId="0" fontId="2" fillId="0" borderId="30" xfId="0" applyFont="1" applyFill="1" applyBorder="1" applyAlignment="1">
      <alignment horizontal="left" vertical="center" wrapText="1"/>
    </xf>
    <xf numFmtId="0" fontId="54" fillId="0" borderId="1" xfId="0" applyFont="1" applyFill="1" applyBorder="1" applyAlignment="1">
      <alignment vertical="center"/>
    </xf>
    <xf numFmtId="0" fontId="55" fillId="0" borderId="1" xfId="0" applyFont="1" applyFill="1" applyBorder="1" applyAlignment="1"/>
    <xf numFmtId="0" fontId="23" fillId="0" borderId="13" xfId="0" applyFont="1" applyFill="1" applyBorder="1" applyAlignment="1">
      <alignment horizontal="center" vertical="center" wrapText="1"/>
    </xf>
    <xf numFmtId="0" fontId="53" fillId="0" borderId="21" xfId="0" applyFont="1" applyFill="1" applyBorder="1" applyAlignment="1">
      <alignment horizontal="center" vertical="center" wrapText="1"/>
    </xf>
    <xf numFmtId="0" fontId="48" fillId="0" borderId="13" xfId="0" applyFont="1" applyFill="1" applyBorder="1" applyAlignment="1">
      <alignment horizontal="center" vertical="center" wrapText="1"/>
    </xf>
    <xf numFmtId="0" fontId="0" fillId="0" borderId="13" xfId="0" applyFill="1" applyBorder="1" applyAlignment="1">
      <alignment vertical="center" wrapText="1"/>
    </xf>
    <xf numFmtId="0" fontId="0" fillId="0" borderId="13" xfId="0" applyFill="1" applyBorder="1" applyAlignment="1">
      <alignment horizontal="center" vertical="center" wrapText="1"/>
    </xf>
    <xf numFmtId="0" fontId="0" fillId="6" borderId="13"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27" fillId="0" borderId="31" xfId="0" applyFont="1" applyFill="1" applyBorder="1" applyAlignment="1">
      <alignment horizontal="center" vertical="center" wrapText="1"/>
    </xf>
    <xf numFmtId="0" fontId="27" fillId="0" borderId="0" xfId="0" applyFont="1" applyFill="1" applyAlignment="1">
      <alignment horizontal="center" vertical="center" wrapText="1"/>
    </xf>
    <xf numFmtId="0" fontId="27" fillId="0" borderId="32" xfId="0" applyFont="1" applyFill="1" applyBorder="1" applyAlignment="1">
      <alignment horizontal="center" vertical="center" wrapText="1"/>
    </xf>
    <xf numFmtId="0" fontId="30" fillId="0" borderId="21" xfId="0" applyFont="1" applyFill="1" applyBorder="1" applyAlignment="1">
      <alignment horizontal="center" wrapText="1"/>
    </xf>
    <xf numFmtId="0" fontId="23" fillId="0" borderId="24" xfId="0" applyFont="1" applyFill="1" applyBorder="1" applyAlignment="1">
      <alignment horizontal="center" vertical="center" wrapText="1"/>
    </xf>
    <xf numFmtId="0" fontId="24" fillId="0" borderId="1" xfId="51" applyFont="1" applyFill="1" applyBorder="1" applyAlignment="1">
      <alignment horizontal="center" vertical="center" wrapText="1"/>
    </xf>
    <xf numFmtId="0" fontId="0" fillId="0" borderId="0" xfId="0" applyFill="1" applyAlignment="1">
      <alignment horizontal="center" vertical="center" wrapText="1"/>
    </xf>
    <xf numFmtId="0" fontId="14" fillId="0" borderId="22" xfId="0" applyFont="1" applyFill="1" applyBorder="1" applyAlignment="1">
      <alignment vertical="center" wrapText="1"/>
    </xf>
    <xf numFmtId="0" fontId="14" fillId="0" borderId="13" xfId="0" applyFont="1" applyFill="1" applyBorder="1" applyAlignment="1">
      <alignment horizontal="center" vertical="center" wrapText="1"/>
    </xf>
    <xf numFmtId="0" fontId="23" fillId="0" borderId="23" xfId="0" applyFont="1" applyFill="1" applyBorder="1" applyAlignment="1">
      <alignment horizontal="center" vertical="center" wrapText="1"/>
    </xf>
    <xf numFmtId="0" fontId="14" fillId="0" borderId="13" xfId="51" applyFont="1" applyFill="1" applyBorder="1" applyAlignment="1">
      <alignment horizontal="center" vertical="center" wrapText="1"/>
    </xf>
    <xf numFmtId="0" fontId="14" fillId="0" borderId="21" xfId="51" applyFont="1" applyFill="1" applyBorder="1" applyAlignment="1">
      <alignment horizontal="center" vertical="center" wrapText="1"/>
    </xf>
    <xf numFmtId="0" fontId="14" fillId="0" borderId="24" xfId="0" applyFont="1" applyFill="1" applyBorder="1" applyAlignment="1">
      <alignment horizontal="center" vertical="center" wrapText="1"/>
    </xf>
    <xf numFmtId="0" fontId="19" fillId="0" borderId="1" xfId="0" applyFont="1" applyFill="1" applyBorder="1" applyAlignment="1">
      <alignment horizontal="center" vertical="center" wrapText="1"/>
    </xf>
    <xf numFmtId="0" fontId="2" fillId="0" borderId="13" xfId="0" applyFont="1" applyFill="1" applyBorder="1" applyAlignment="1">
      <alignment horizontal="left" vertical="center" wrapText="1"/>
    </xf>
    <xf numFmtId="0" fontId="56" fillId="0" borderId="1" xfId="0" applyFont="1" applyFill="1" applyBorder="1" applyAlignment="1">
      <alignment horizontal="center" wrapText="1"/>
    </xf>
    <xf numFmtId="0" fontId="22" fillId="0" borderId="0" xfId="0" applyFont="1" applyFill="1" applyAlignment="1">
      <alignment horizontal="center" vertical="center" wrapText="1"/>
    </xf>
    <xf numFmtId="0" fontId="32" fillId="0" borderId="19" xfId="0" applyFont="1" applyFill="1" applyBorder="1" applyAlignment="1">
      <alignment horizontal="center" vertical="center" wrapText="1"/>
    </xf>
    <xf numFmtId="0" fontId="32" fillId="0" borderId="2" xfId="0" applyFont="1" applyFill="1" applyBorder="1" applyAlignment="1">
      <alignment horizontal="center" vertical="center" wrapText="1"/>
    </xf>
    <xf numFmtId="0" fontId="32" fillId="0" borderId="4" xfId="0" applyFont="1" applyFill="1" applyBorder="1" applyAlignment="1">
      <alignment horizontal="center" vertical="center" wrapText="1"/>
    </xf>
    <xf numFmtId="0" fontId="32" fillId="0" borderId="33" xfId="0" applyFont="1" applyFill="1" applyBorder="1" applyAlignment="1">
      <alignment horizontal="center" vertical="center" wrapText="1"/>
    </xf>
    <xf numFmtId="0" fontId="32" fillId="0" borderId="34" xfId="0" applyFont="1" applyFill="1" applyBorder="1" applyAlignment="1">
      <alignment horizontal="left" vertical="center" wrapText="1"/>
    </xf>
    <xf numFmtId="0" fontId="10" fillId="0" borderId="1" xfId="50" applyNumberFormat="1" applyFont="1" applyFill="1" applyBorder="1" applyAlignment="1">
      <alignment horizontal="center" vertical="center" wrapText="1"/>
    </xf>
    <xf numFmtId="0" fontId="42" fillId="0" borderId="1" xfId="51" applyFont="1" applyFill="1" applyBorder="1" applyAlignment="1">
      <alignment horizontal="center" vertical="center" wrapText="1"/>
    </xf>
    <xf numFmtId="0" fontId="48" fillId="0" borderId="2" xfId="0" applyFont="1" applyFill="1" applyBorder="1" applyAlignment="1">
      <alignment horizontal="left" vertical="center" wrapText="1"/>
    </xf>
    <xf numFmtId="0" fontId="15" fillId="0" borderId="10" xfId="51" applyFont="1" applyFill="1" applyBorder="1" applyAlignment="1">
      <alignment horizontal="center" vertical="center" wrapText="1"/>
    </xf>
    <xf numFmtId="0" fontId="3" fillId="0" borderId="10" xfId="0" applyFont="1" applyFill="1" applyBorder="1" applyAlignment="1">
      <alignment horizontal="center" vertical="center" wrapText="1"/>
    </xf>
    <xf numFmtId="0" fontId="57" fillId="0" borderId="1" xfId="0" applyFont="1" applyFill="1" applyBorder="1" applyAlignment="1">
      <alignment horizontal="left" vertical="center" wrapText="1"/>
    </xf>
    <xf numFmtId="0" fontId="26" fillId="0" borderId="10" xfId="49" applyFont="1" applyFill="1" applyBorder="1" applyAlignment="1">
      <alignment horizontal="center" vertical="center" wrapText="1"/>
    </xf>
    <xf numFmtId="0" fontId="16" fillId="0" borderId="3" xfId="0" applyFont="1" applyFill="1" applyBorder="1" applyAlignment="1">
      <alignment horizontal="center" vertical="center" wrapText="1"/>
    </xf>
    <xf numFmtId="0" fontId="58" fillId="0" borderId="1" xfId="0" applyFont="1" applyFill="1" applyBorder="1" applyAlignment="1">
      <alignment horizontal="left" vertical="center" wrapText="1"/>
    </xf>
    <xf numFmtId="0" fontId="59" fillId="0" borderId="1" xfId="51" applyFont="1" applyFill="1" applyBorder="1" applyAlignment="1">
      <alignment horizontal="center" vertical="center" wrapText="1"/>
    </xf>
    <xf numFmtId="0" fontId="60" fillId="5" borderId="17" xfId="0" applyFont="1" applyFill="1" applyBorder="1" applyAlignment="1">
      <alignment horizontal="center" vertical="center" wrapText="1"/>
    </xf>
    <xf numFmtId="0" fontId="60" fillId="5" borderId="1" xfId="0" applyFont="1" applyFill="1" applyBorder="1" applyAlignment="1">
      <alignment horizontal="center" vertical="center" wrapText="1"/>
    </xf>
    <xf numFmtId="0" fontId="60" fillId="5" borderId="11" xfId="0" applyFont="1" applyFill="1" applyBorder="1" applyAlignment="1">
      <alignment horizontal="center" vertical="center" wrapText="1"/>
    </xf>
    <xf numFmtId="0" fontId="60" fillId="5" borderId="18" xfId="0" applyFont="1" applyFill="1" applyBorder="1" applyAlignment="1">
      <alignment horizontal="center" vertical="center" wrapText="1"/>
    </xf>
    <xf numFmtId="0" fontId="40" fillId="0" borderId="17" xfId="0" applyFont="1" applyFill="1" applyBorder="1" applyAlignment="1">
      <alignment horizontal="center" vertical="center" wrapText="1"/>
    </xf>
    <xf numFmtId="0" fontId="40" fillId="0" borderId="1" xfId="0" applyFont="1" applyFill="1" applyBorder="1" applyAlignment="1">
      <alignment horizontal="center" vertical="center" wrapText="1"/>
    </xf>
    <xf numFmtId="0" fontId="40" fillId="0" borderId="11" xfId="0" applyFont="1" applyFill="1" applyBorder="1" applyAlignment="1">
      <alignment horizontal="center" vertical="center" wrapText="1"/>
    </xf>
    <xf numFmtId="0" fontId="40" fillId="0" borderId="1" xfId="51" applyFont="1" applyFill="1" applyBorder="1" applyAlignment="1">
      <alignment horizontal="center" vertical="center" wrapText="1"/>
    </xf>
    <xf numFmtId="0" fontId="40" fillId="0" borderId="9" xfId="0" applyFont="1" applyFill="1" applyBorder="1" applyAlignment="1">
      <alignment horizontal="center" vertical="center" wrapText="1"/>
    </xf>
    <xf numFmtId="0" fontId="40" fillId="0" borderId="3" xfId="49" applyFont="1" applyFill="1" applyBorder="1" applyAlignment="1">
      <alignment horizontal="center" vertical="center" wrapText="1"/>
    </xf>
    <xf numFmtId="0" fontId="42" fillId="0" borderId="9" xfId="51" applyFont="1" applyFill="1" applyBorder="1" applyAlignment="1">
      <alignment horizontal="center" vertical="center" wrapText="1"/>
    </xf>
    <xf numFmtId="0" fontId="15" fillId="0" borderId="1" xfId="49" applyFont="1" applyFill="1" applyBorder="1" applyAlignment="1">
      <alignment horizontal="center" vertical="center" wrapText="1"/>
    </xf>
    <xf numFmtId="178" fontId="61" fillId="0" borderId="0" xfId="0" applyNumberFormat="1" applyFont="1" applyFill="1" applyAlignment="1"/>
    <xf numFmtId="0" fontId="15" fillId="0" borderId="21" xfId="49" applyFont="1" applyFill="1" applyBorder="1" applyAlignment="1">
      <alignment horizontal="center" vertical="center" wrapText="1"/>
    </xf>
    <xf numFmtId="0" fontId="19" fillId="0" borderId="13" xfId="0" applyFont="1" applyFill="1" applyBorder="1" applyAlignment="1">
      <alignment horizontal="center" vertical="center" wrapText="1"/>
    </xf>
    <xf numFmtId="0" fontId="40" fillId="0" borderId="1" xfId="49" applyFont="1" applyFill="1" applyBorder="1" applyAlignment="1">
      <alignment horizontal="center" vertical="center" wrapText="1"/>
    </xf>
    <xf numFmtId="0" fontId="62" fillId="5" borderId="17" xfId="0" applyFont="1" applyFill="1" applyBorder="1" applyAlignment="1">
      <alignment horizontal="center" vertical="center" wrapText="1"/>
    </xf>
    <xf numFmtId="0" fontId="62" fillId="5" borderId="1" xfId="0" applyFont="1" applyFill="1" applyBorder="1" applyAlignment="1">
      <alignment horizontal="center" vertical="center" wrapText="1"/>
    </xf>
    <xf numFmtId="0" fontId="62" fillId="5" borderId="11" xfId="0" applyFont="1" applyFill="1" applyBorder="1" applyAlignment="1">
      <alignment horizontal="center" vertical="center" wrapText="1"/>
    </xf>
    <xf numFmtId="0" fontId="62" fillId="5" borderId="18" xfId="0" applyFont="1" applyFill="1" applyBorder="1" applyAlignment="1">
      <alignment horizontal="center" vertical="center" wrapText="1"/>
    </xf>
    <xf numFmtId="0" fontId="0" fillId="0" borderId="3" xfId="0" applyFill="1" applyBorder="1" applyAlignment="1">
      <alignment horizontal="center" vertical="center" wrapText="1"/>
    </xf>
    <xf numFmtId="0" fontId="0" fillId="0" borderId="3" xfId="0" applyFill="1" applyBorder="1" applyAlignment="1">
      <alignment vertical="center" wrapText="1"/>
    </xf>
    <xf numFmtId="0" fontId="0" fillId="0" borderId="4" xfId="0" applyFill="1" applyBorder="1" applyAlignment="1">
      <alignment horizontal="center" vertical="center" wrapText="1"/>
    </xf>
    <xf numFmtId="0" fontId="23" fillId="0" borderId="10" xfId="0" applyFont="1" applyFill="1" applyBorder="1" applyAlignment="1">
      <alignment horizontal="center" vertical="center" wrapText="1"/>
    </xf>
    <xf numFmtId="0" fontId="24" fillId="0" borderId="1" xfId="51" applyNumberFormat="1" applyFont="1" applyFill="1" applyBorder="1" applyAlignment="1">
      <alignment horizontal="center" vertical="center" wrapText="1"/>
    </xf>
    <xf numFmtId="0" fontId="29" fillId="0" borderId="13" xfId="0" applyNumberFormat="1" applyFont="1" applyFill="1" applyBorder="1" applyAlignment="1">
      <alignment horizontal="center" vertical="center" wrapText="1"/>
    </xf>
    <xf numFmtId="0" fontId="24" fillId="0" borderId="13" xfId="50" applyNumberFormat="1" applyFont="1" applyFill="1" applyBorder="1" applyAlignment="1">
      <alignment horizontal="center" vertical="center" wrapText="1"/>
    </xf>
    <xf numFmtId="0" fontId="24" fillId="0" borderId="13" xfId="51" applyFont="1" applyFill="1" applyBorder="1" applyAlignment="1">
      <alignment horizontal="center" vertical="center" wrapText="1"/>
    </xf>
    <xf numFmtId="0" fontId="0" fillId="0" borderId="10" xfId="0" applyFill="1" applyBorder="1" applyAlignment="1">
      <alignment horizontal="center" vertical="center" wrapText="1"/>
    </xf>
    <xf numFmtId="0" fontId="63" fillId="0" borderId="14" xfId="0" applyFont="1" applyFill="1" applyBorder="1" applyAlignment="1">
      <alignment horizontal="center" vertical="center" wrapText="1"/>
    </xf>
    <xf numFmtId="0" fontId="63" fillId="0" borderId="1" xfId="0" applyFont="1" applyFill="1" applyBorder="1" applyAlignment="1">
      <alignment horizontal="center" vertical="center" wrapText="1"/>
    </xf>
    <xf numFmtId="0" fontId="63" fillId="0" borderId="15" xfId="0" applyFont="1" applyFill="1" applyBorder="1" applyAlignment="1">
      <alignment horizontal="center" vertical="center" wrapText="1"/>
    </xf>
    <xf numFmtId="0" fontId="63" fillId="0" borderId="6" xfId="0" applyFont="1" applyFill="1" applyBorder="1" applyAlignment="1">
      <alignment horizontal="center" vertical="center" wrapText="1"/>
    </xf>
    <xf numFmtId="0" fontId="63" fillId="0" borderId="16" xfId="0" applyFont="1" applyFill="1" applyBorder="1" applyAlignment="1">
      <alignment horizontal="center" vertical="center" wrapText="1"/>
    </xf>
    <xf numFmtId="0" fontId="63" fillId="0" borderId="7" xfId="0" applyFont="1" applyFill="1" applyBorder="1" applyAlignment="1">
      <alignment horizontal="left" vertical="center" wrapText="1"/>
    </xf>
    <xf numFmtId="14" fontId="0" fillId="0" borderId="1" xfId="0" applyNumberFormat="1" applyFill="1" applyBorder="1" applyAlignment="1">
      <alignment vertical="center"/>
    </xf>
    <xf numFmtId="0" fontId="23" fillId="0" borderId="4" xfId="0" applyFont="1" applyFill="1" applyBorder="1" applyAlignment="1">
      <alignment horizontal="center" vertical="center" wrapText="1"/>
    </xf>
    <xf numFmtId="0" fontId="43" fillId="0" borderId="1" xfId="0" applyFont="1" applyFill="1" applyBorder="1" applyAlignment="1">
      <alignment horizontal="left" vertical="center" wrapText="1"/>
    </xf>
    <xf numFmtId="0" fontId="13" fillId="0" borderId="1" xfId="0" applyFont="1" applyFill="1" applyBorder="1" applyAlignment="1">
      <alignment wrapText="1" shrinkToFit="1"/>
    </xf>
    <xf numFmtId="0" fontId="54" fillId="0" borderId="0" xfId="0" applyFont="1" applyFill="1" applyAlignment="1">
      <alignment vertical="center"/>
    </xf>
    <xf numFmtId="0" fontId="0" fillId="0" borderId="10" xfId="0" applyFont="1" applyFill="1" applyBorder="1" applyAlignment="1">
      <alignment horizontal="center" vertical="center" wrapText="1"/>
    </xf>
    <xf numFmtId="0" fontId="0" fillId="0" borderId="21" xfId="0" applyFont="1" applyFill="1" applyBorder="1" applyAlignment="1">
      <alignment horizontal="center" vertical="center" wrapText="1"/>
    </xf>
    <xf numFmtId="0" fontId="15" fillId="0" borderId="13" xfId="50" applyNumberFormat="1" applyFont="1" applyFill="1" applyBorder="1" applyAlignment="1">
      <alignment horizontal="center" vertical="center" wrapText="1"/>
    </xf>
    <xf numFmtId="0" fontId="15" fillId="0" borderId="24" xfId="51" applyFont="1" applyFill="1" applyBorder="1" applyAlignment="1">
      <alignment horizontal="center" vertical="center" wrapText="1"/>
    </xf>
    <xf numFmtId="0" fontId="14" fillId="0" borderId="13" xfId="50" applyNumberFormat="1" applyFont="1" applyFill="1" applyBorder="1" applyAlignment="1">
      <alignment horizontal="center" vertical="center" wrapText="1"/>
    </xf>
    <xf numFmtId="0" fontId="15" fillId="0" borderId="13" xfId="51" applyFont="1" applyFill="1" applyBorder="1" applyAlignment="1">
      <alignment horizontal="center" vertical="center" wrapText="1"/>
    </xf>
    <xf numFmtId="0" fontId="40" fillId="0" borderId="10" xfId="0" applyFont="1" applyFill="1" applyBorder="1" applyAlignment="1">
      <alignment horizontal="center" vertical="center" wrapText="1"/>
    </xf>
    <xf numFmtId="0" fontId="16" fillId="0" borderId="1" xfId="0" applyFont="1" applyFill="1" applyBorder="1" applyAlignment="1">
      <alignment vertical="center" wrapText="1"/>
    </xf>
    <xf numFmtId="14" fontId="16" fillId="0" borderId="1" xfId="0" applyNumberFormat="1" applyFont="1" applyFill="1" applyBorder="1" applyAlignment="1">
      <alignment vertical="center"/>
    </xf>
    <xf numFmtId="0" fontId="41" fillId="6" borderId="1" xfId="0" applyFont="1" applyFill="1" applyBorder="1" applyAlignment="1">
      <alignment horizontal="center" vertical="center" wrapText="1"/>
    </xf>
    <xf numFmtId="0" fontId="60" fillId="0" borderId="1" xfId="0" applyFont="1" applyFill="1" applyBorder="1" applyAlignment="1">
      <alignment horizontal="center" vertical="center" wrapText="1"/>
    </xf>
    <xf numFmtId="0" fontId="15" fillId="0" borderId="18" xfId="51" applyFont="1" applyFill="1" applyBorder="1" applyAlignment="1">
      <alignment horizontal="center" vertical="center" wrapText="1"/>
    </xf>
    <xf numFmtId="0" fontId="23" fillId="0" borderId="35" xfId="0" applyFont="1" applyFill="1" applyBorder="1" applyAlignment="1">
      <alignment horizontal="center" vertical="center" wrapText="1"/>
    </xf>
    <xf numFmtId="0" fontId="14" fillId="0" borderId="31" xfId="0" applyFont="1" applyFill="1" applyBorder="1" applyAlignment="1">
      <alignment horizontal="center" vertical="center" wrapText="1"/>
    </xf>
    <xf numFmtId="14" fontId="0" fillId="0" borderId="0" xfId="0" applyNumberFormat="1" applyFill="1" applyAlignment="1">
      <alignment vertical="center"/>
    </xf>
    <xf numFmtId="0" fontId="3" fillId="0" borderId="2" xfId="0" applyFont="1" applyFill="1" applyBorder="1" applyAlignment="1">
      <alignment horizontal="center" vertical="center" wrapText="1"/>
    </xf>
    <xf numFmtId="0" fontId="16" fillId="0" borderId="21" xfId="0" applyFont="1" applyFill="1" applyBorder="1" applyAlignment="1">
      <alignment horizontal="center" vertical="center" wrapText="1"/>
    </xf>
    <xf numFmtId="14" fontId="0" fillId="0" borderId="10" xfId="0" applyNumberFormat="1" applyFill="1" applyBorder="1" applyAlignment="1">
      <alignment vertical="center"/>
    </xf>
    <xf numFmtId="0" fontId="2" fillId="0" borderId="10"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63" fillId="0" borderId="1" xfId="0" applyFont="1" applyFill="1" applyBorder="1" applyAlignment="1">
      <alignment horizontal="left" vertical="center" wrapText="1"/>
    </xf>
    <xf numFmtId="0" fontId="10" fillId="0" borderId="3" xfId="49" applyFont="1" applyFill="1" applyBorder="1" applyAlignment="1">
      <alignment horizontal="center" vertical="center" wrapText="1"/>
    </xf>
    <xf numFmtId="0" fontId="0" fillId="0" borderId="3" xfId="0" applyFont="1" applyFill="1" applyBorder="1" applyAlignment="1">
      <alignment vertical="center"/>
    </xf>
    <xf numFmtId="0" fontId="14" fillId="0" borderId="10" xfId="49" applyFont="1" applyFill="1" applyBorder="1" applyAlignment="1">
      <alignment horizontal="center" vertical="center" wrapText="1"/>
    </xf>
    <xf numFmtId="0" fontId="48" fillId="5" borderId="17" xfId="0" applyFont="1" applyFill="1" applyBorder="1" applyAlignment="1">
      <alignment horizontal="center" vertical="center" wrapText="1"/>
    </xf>
    <xf numFmtId="0" fontId="48" fillId="5" borderId="1" xfId="0" applyFont="1" applyFill="1" applyBorder="1" applyAlignment="1">
      <alignment horizontal="center" vertical="center" wrapText="1"/>
    </xf>
    <xf numFmtId="0" fontId="48" fillId="5" borderId="11" xfId="0" applyFont="1" applyFill="1" applyBorder="1" applyAlignment="1">
      <alignment horizontal="center" vertical="center" wrapText="1"/>
    </xf>
    <xf numFmtId="0" fontId="48" fillId="5" borderId="18" xfId="0" applyFont="1" applyFill="1" applyBorder="1" applyAlignment="1">
      <alignment horizontal="center" vertical="center" wrapText="1"/>
    </xf>
    <xf numFmtId="0" fontId="0" fillId="0" borderId="3" xfId="0" applyFont="1" applyFill="1" applyBorder="1" applyAlignment="1">
      <alignment vertical="center" wrapText="1"/>
    </xf>
    <xf numFmtId="0" fontId="22" fillId="0" borderId="13" xfId="0" applyFont="1" applyFill="1" applyBorder="1" applyAlignment="1">
      <alignment vertical="center" wrapText="1"/>
    </xf>
    <xf numFmtId="0" fontId="42" fillId="0" borderId="10" xfId="49" applyFont="1" applyFill="1" applyBorder="1" applyAlignment="1">
      <alignment horizontal="center" vertical="center" wrapText="1"/>
    </xf>
    <xf numFmtId="0" fontId="14" fillId="0" borderId="10" xfId="0" applyFont="1" applyFill="1" applyBorder="1" applyAlignment="1">
      <alignment vertical="center" wrapText="1"/>
    </xf>
    <xf numFmtId="0" fontId="53" fillId="0" borderId="10" xfId="0" applyFont="1" applyFill="1" applyBorder="1" applyAlignment="1">
      <alignment horizontal="center" vertical="center" wrapText="1"/>
    </xf>
    <xf numFmtId="0" fontId="0" fillId="0" borderId="1" xfId="0" applyFont="1" applyFill="1" applyBorder="1" applyAlignment="1">
      <alignment horizontal="left" vertical="center" wrapText="1"/>
    </xf>
    <xf numFmtId="0" fontId="64" fillId="0" borderId="24" xfId="0" applyFont="1" applyFill="1" applyBorder="1" applyAlignment="1">
      <alignment horizontal="center" vertical="center" wrapText="1"/>
    </xf>
    <xf numFmtId="3" fontId="65" fillId="0" borderId="1" xfId="0" applyNumberFormat="1" applyFont="1" applyFill="1" applyBorder="1" applyAlignment="1">
      <alignment vertical="center" wrapText="1"/>
    </xf>
    <xf numFmtId="0" fontId="65" fillId="0" borderId="1" xfId="0" applyFont="1" applyFill="1" applyBorder="1" applyAlignment="1">
      <alignment vertical="center" wrapText="1"/>
    </xf>
    <xf numFmtId="0" fontId="57" fillId="0" borderId="1" xfId="0" applyFont="1" applyFill="1" applyBorder="1" applyAlignment="1">
      <alignment vertical="center" wrapText="1"/>
    </xf>
    <xf numFmtId="0" fontId="48" fillId="0" borderId="2" xfId="0" applyFont="1" applyFill="1" applyBorder="1" applyAlignment="1">
      <alignment horizontal="center" vertical="center" wrapText="1"/>
    </xf>
    <xf numFmtId="0" fontId="14" fillId="0" borderId="11" xfId="0" applyFont="1" applyFill="1" applyBorder="1" applyAlignment="1">
      <alignmen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52" xfId="49"/>
    <cellStyle name="常规 55" xfId="50"/>
    <cellStyle name="常规 56"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2</xdr:row>
      <xdr:rowOff>0</xdr:rowOff>
    </xdr:from>
    <xdr:to>
      <xdr:col>2</xdr:col>
      <xdr:colOff>9525</xdr:colOff>
      <xdr:row>2</xdr:row>
      <xdr:rowOff>10160</xdr:rowOff>
    </xdr:to>
    <xdr:pic>
      <xdr:nvPicPr>
        <xdr:cNvPr id="2" name="图片 1" descr="图片"/>
        <xdr:cNvPicPr>
          <a:picLocks noChangeAspect="1"/>
        </xdr:cNvPicPr>
      </xdr:nvPicPr>
      <xdr:blipFill>
        <a:blip r:embed="rId1" r:link="rId2"/>
        <a:stretch>
          <a:fillRect/>
        </a:stretch>
      </xdr:blipFill>
      <xdr:spPr>
        <a:xfrm>
          <a:off x="5191760" y="660400"/>
          <a:ext cx="9525" cy="10160"/>
        </a:xfrm>
        <a:prstGeom prst="rect">
          <a:avLst/>
        </a:prstGeom>
        <a:noFill/>
        <a:ln w="9525">
          <a:noFill/>
        </a:ln>
      </xdr:spPr>
    </xdr:pic>
    <xdr:clientData/>
  </xdr:twoCellAnchor>
  <xdr:twoCellAnchor editAs="oneCell">
    <xdr:from>
      <xdr:col>2</xdr:col>
      <xdr:colOff>0</xdr:colOff>
      <xdr:row>2</xdr:row>
      <xdr:rowOff>0</xdr:rowOff>
    </xdr:from>
    <xdr:to>
      <xdr:col>2</xdr:col>
      <xdr:colOff>9525</xdr:colOff>
      <xdr:row>2</xdr:row>
      <xdr:rowOff>10160</xdr:rowOff>
    </xdr:to>
    <xdr:pic>
      <xdr:nvPicPr>
        <xdr:cNvPr id="3" name="图片 1" descr="图片"/>
        <xdr:cNvPicPr>
          <a:picLocks noChangeAspect="1"/>
        </xdr:cNvPicPr>
      </xdr:nvPicPr>
      <xdr:blipFill>
        <a:blip r:embed="rId1" r:link="rId2"/>
        <a:stretch>
          <a:fillRect/>
        </a:stretch>
      </xdr:blipFill>
      <xdr:spPr>
        <a:xfrm>
          <a:off x="5191760" y="660400"/>
          <a:ext cx="9525" cy="10160"/>
        </a:xfrm>
        <a:prstGeom prst="rect">
          <a:avLst/>
        </a:prstGeom>
        <a:noFill/>
        <a:ln w="9525">
          <a:noFill/>
        </a:ln>
      </xdr:spPr>
    </xdr:pic>
    <xdr:clientData/>
  </xdr:twoCellAnchor>
  <xdr:twoCellAnchor editAs="oneCell">
    <xdr:from>
      <xdr:col>2</xdr:col>
      <xdr:colOff>0</xdr:colOff>
      <xdr:row>2</xdr:row>
      <xdr:rowOff>0</xdr:rowOff>
    </xdr:from>
    <xdr:to>
      <xdr:col>2</xdr:col>
      <xdr:colOff>9525</xdr:colOff>
      <xdr:row>2</xdr:row>
      <xdr:rowOff>10160</xdr:rowOff>
    </xdr:to>
    <xdr:pic>
      <xdr:nvPicPr>
        <xdr:cNvPr id="4" name="图片 1" descr="图片"/>
        <xdr:cNvPicPr>
          <a:picLocks noChangeAspect="1"/>
        </xdr:cNvPicPr>
      </xdr:nvPicPr>
      <xdr:blipFill>
        <a:blip r:embed="rId1" r:link="rId2"/>
        <a:stretch>
          <a:fillRect/>
        </a:stretch>
      </xdr:blipFill>
      <xdr:spPr>
        <a:xfrm>
          <a:off x="5191760" y="660400"/>
          <a:ext cx="9525" cy="1016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32"/>
  <sheetViews>
    <sheetView workbookViewId="0">
      <selection activeCell="F83" sqref="F83"/>
    </sheetView>
  </sheetViews>
  <sheetFormatPr defaultColWidth="9.14285714285714" defaultRowHeight="16.8" outlineLevelCol="6"/>
  <cols>
    <col min="2" max="2" width="57.5892857142857" customWidth="1"/>
  </cols>
  <sheetData>
    <row r="1" ht="26" spans="1:7">
      <c r="A1" s="66" t="s">
        <v>0</v>
      </c>
      <c r="B1" s="67"/>
      <c r="C1" s="68"/>
      <c r="D1" s="69"/>
      <c r="E1" s="69"/>
      <c r="F1" s="70"/>
      <c r="G1" s="71"/>
    </row>
    <row r="2" ht="20.4" spans="1:7">
      <c r="A2" s="72" t="s">
        <v>1</v>
      </c>
      <c r="B2" s="73"/>
      <c r="C2" s="74"/>
      <c r="D2" s="74"/>
      <c r="E2" s="74"/>
      <c r="F2" s="74"/>
      <c r="G2" s="75"/>
    </row>
    <row r="3" spans="1:7">
      <c r="A3" s="76" t="s">
        <v>2</v>
      </c>
      <c r="B3" s="77" t="s">
        <v>3</v>
      </c>
      <c r="C3" s="78" t="s">
        <v>4</v>
      </c>
      <c r="D3" s="79" t="s">
        <v>5</v>
      </c>
      <c r="E3" s="77" t="s">
        <v>6</v>
      </c>
      <c r="F3" s="77" t="s">
        <v>7</v>
      </c>
      <c r="G3" s="80" t="s">
        <v>8</v>
      </c>
    </row>
    <row r="4" ht="34" spans="1:7">
      <c r="A4" s="81">
        <v>1</v>
      </c>
      <c r="B4" s="82" t="s">
        <v>9</v>
      </c>
      <c r="C4" s="83"/>
      <c r="D4" s="83"/>
      <c r="E4" s="82"/>
      <c r="F4" s="82"/>
      <c r="G4" s="84"/>
    </row>
    <row r="5" ht="17" spans="1:7">
      <c r="A5" s="81">
        <v>2</v>
      </c>
      <c r="B5" s="82" t="s">
        <v>10</v>
      </c>
      <c r="C5" s="85"/>
      <c r="D5" s="86"/>
      <c r="E5" s="82"/>
      <c r="F5" s="82"/>
      <c r="G5" s="84"/>
    </row>
    <row r="6" ht="17" spans="1:7">
      <c r="A6" s="87">
        <v>3</v>
      </c>
      <c r="B6" s="82" t="s">
        <v>11</v>
      </c>
      <c r="C6" s="86"/>
      <c r="D6" s="86"/>
      <c r="E6" s="82"/>
      <c r="F6" s="82"/>
      <c r="G6" s="88"/>
    </row>
    <row r="7" ht="17" spans="1:7">
      <c r="A7" s="87">
        <v>4</v>
      </c>
      <c r="B7" s="82" t="s">
        <v>12</v>
      </c>
      <c r="C7" s="86"/>
      <c r="D7" s="86"/>
      <c r="E7" s="82"/>
      <c r="F7" s="82"/>
      <c r="G7" s="84"/>
    </row>
    <row r="8" ht="20.4" spans="1:7">
      <c r="A8" s="87">
        <v>5</v>
      </c>
      <c r="B8" s="82" t="s">
        <v>13</v>
      </c>
      <c r="C8" s="89"/>
      <c r="D8" s="89"/>
      <c r="E8" s="89"/>
      <c r="F8" s="89"/>
      <c r="G8" s="89"/>
    </row>
    <row r="9" ht="20.4" spans="1:7">
      <c r="A9" s="90" t="s">
        <v>14</v>
      </c>
      <c r="B9" s="73"/>
      <c r="C9" s="91"/>
      <c r="D9" s="91"/>
      <c r="E9" s="91"/>
      <c r="F9" s="91"/>
      <c r="G9" s="75"/>
    </row>
    <row r="10" spans="1:7">
      <c r="A10" s="92" t="s">
        <v>2</v>
      </c>
      <c r="B10" s="93" t="s">
        <v>3</v>
      </c>
      <c r="C10" s="94" t="s">
        <v>15</v>
      </c>
      <c r="D10" s="95" t="s">
        <v>5</v>
      </c>
      <c r="E10" s="96" t="s">
        <v>16</v>
      </c>
      <c r="F10" s="93" t="s">
        <v>7</v>
      </c>
      <c r="G10" s="97" t="s">
        <v>8</v>
      </c>
    </row>
    <row r="11" ht="51" spans="1:7">
      <c r="A11" s="98">
        <v>1</v>
      </c>
      <c r="B11" s="82" t="s">
        <v>17</v>
      </c>
      <c r="C11" s="86" t="s">
        <v>18</v>
      </c>
      <c r="D11" s="41">
        <v>35979</v>
      </c>
      <c r="E11" s="99"/>
      <c r="F11" s="100">
        <v>7</v>
      </c>
      <c r="G11" s="101" t="s">
        <v>19</v>
      </c>
    </row>
    <row r="12" ht="34" spans="1:7">
      <c r="A12" s="102">
        <v>2</v>
      </c>
      <c r="B12" s="82" t="s">
        <v>20</v>
      </c>
      <c r="C12" s="103" t="s">
        <v>18</v>
      </c>
      <c r="D12" s="103"/>
      <c r="E12" s="99"/>
      <c r="F12" s="100">
        <v>2</v>
      </c>
      <c r="G12" s="82"/>
    </row>
    <row r="13" ht="20.4" spans="1:7">
      <c r="A13" s="72" t="s">
        <v>21</v>
      </c>
      <c r="B13" s="73"/>
      <c r="C13" s="74"/>
      <c r="D13" s="74"/>
      <c r="E13" s="74"/>
      <c r="F13" s="74"/>
      <c r="G13" s="75"/>
    </row>
    <row r="14" spans="1:7">
      <c r="A14" s="92" t="s">
        <v>2</v>
      </c>
      <c r="B14" s="93" t="s">
        <v>3</v>
      </c>
      <c r="C14" s="94" t="s">
        <v>22</v>
      </c>
      <c r="D14" s="95" t="s">
        <v>5</v>
      </c>
      <c r="E14" s="96" t="s">
        <v>16</v>
      </c>
      <c r="F14" s="93" t="s">
        <v>7</v>
      </c>
      <c r="G14" s="97" t="s">
        <v>8</v>
      </c>
    </row>
    <row r="15" ht="17.6" spans="1:7">
      <c r="A15" s="104">
        <v>1</v>
      </c>
      <c r="B15" s="82" t="s">
        <v>23</v>
      </c>
      <c r="C15" s="82" t="s">
        <v>24</v>
      </c>
      <c r="D15" s="105"/>
      <c r="E15" s="106"/>
      <c r="F15" s="106">
        <v>8</v>
      </c>
      <c r="G15" s="107"/>
    </row>
    <row r="16" ht="36" spans="1:7">
      <c r="A16" s="104">
        <v>2</v>
      </c>
      <c r="B16" s="82" t="s">
        <v>25</v>
      </c>
      <c r="C16" s="108" t="s">
        <v>26</v>
      </c>
      <c r="D16" s="109"/>
      <c r="E16" s="106"/>
      <c r="F16" s="106">
        <v>10</v>
      </c>
      <c r="G16" s="108" t="s">
        <v>27</v>
      </c>
    </row>
    <row r="17" ht="17.6" spans="1:7">
      <c r="A17" s="108" t="s">
        <v>28</v>
      </c>
      <c r="B17" s="108"/>
      <c r="C17" s="108"/>
      <c r="D17" s="56"/>
      <c r="E17" s="108"/>
      <c r="F17" s="108"/>
      <c r="G17" s="108"/>
    </row>
    <row r="18" spans="1:7">
      <c r="A18" s="110"/>
      <c r="B18" s="110"/>
      <c r="C18" s="110"/>
      <c r="D18" s="110"/>
      <c r="E18" s="110"/>
      <c r="F18" s="110"/>
      <c r="G18" s="110"/>
    </row>
    <row r="19" spans="1:7">
      <c r="A19" s="110"/>
      <c r="B19" s="110"/>
      <c r="C19" s="110"/>
      <c r="D19" s="110"/>
      <c r="E19" s="110"/>
      <c r="F19" s="110"/>
      <c r="G19" s="110"/>
    </row>
    <row r="20" ht="26" spans="1:7">
      <c r="A20" s="111" t="s">
        <v>29</v>
      </c>
      <c r="B20" s="111"/>
      <c r="C20" s="111"/>
      <c r="D20" s="111"/>
      <c r="E20" s="111"/>
      <c r="F20" s="111"/>
      <c r="G20" s="112"/>
    </row>
    <row r="21" ht="20.4" spans="1:7">
      <c r="A21" s="90" t="s">
        <v>1</v>
      </c>
      <c r="B21" s="113"/>
      <c r="C21" s="91"/>
      <c r="D21" s="91"/>
      <c r="E21" s="91"/>
      <c r="F21" s="91"/>
      <c r="G21" s="114"/>
    </row>
    <row r="22" spans="1:7">
      <c r="A22" s="115" t="s">
        <v>2</v>
      </c>
      <c r="B22" s="93" t="s">
        <v>3</v>
      </c>
      <c r="C22" s="116" t="s">
        <v>4</v>
      </c>
      <c r="D22" s="95" t="s">
        <v>5</v>
      </c>
      <c r="E22" s="93" t="s">
        <v>6</v>
      </c>
      <c r="F22" s="93" t="s">
        <v>7</v>
      </c>
      <c r="G22" s="97" t="s">
        <v>8</v>
      </c>
    </row>
    <row r="23" ht="36" spans="1:7">
      <c r="A23" s="117">
        <v>1</v>
      </c>
      <c r="B23" s="82" t="s">
        <v>30</v>
      </c>
      <c r="C23" s="118"/>
      <c r="D23" s="119"/>
      <c r="E23" s="120"/>
      <c r="F23" s="84"/>
      <c r="G23" s="121"/>
    </row>
    <row r="24" ht="17" spans="1:7">
      <c r="A24" s="122">
        <v>2</v>
      </c>
      <c r="B24" s="82" t="s">
        <v>31</v>
      </c>
      <c r="C24" s="118"/>
      <c r="D24" s="119"/>
      <c r="E24" s="120"/>
      <c r="F24" s="84"/>
      <c r="G24" s="121"/>
    </row>
    <row r="25" ht="17" spans="1:7">
      <c r="A25" s="122">
        <v>3</v>
      </c>
      <c r="B25" s="82" t="s">
        <v>32</v>
      </c>
      <c r="C25" s="118"/>
      <c r="D25" s="119"/>
      <c r="E25" s="123"/>
      <c r="F25" s="88"/>
      <c r="G25" s="124"/>
    </row>
    <row r="26" ht="17" spans="1:7">
      <c r="A26" s="125">
        <v>4</v>
      </c>
      <c r="B26" s="82" t="s">
        <v>33</v>
      </c>
      <c r="C26" s="126"/>
      <c r="D26" s="119"/>
      <c r="E26" s="35"/>
      <c r="F26" s="35"/>
      <c r="G26" s="84"/>
    </row>
    <row r="27" ht="20.4" spans="1:7">
      <c r="A27" s="125">
        <v>5</v>
      </c>
      <c r="B27" s="82" t="s">
        <v>34</v>
      </c>
      <c r="C27" s="89"/>
      <c r="D27" s="89"/>
      <c r="E27" s="89"/>
      <c r="F27" s="89"/>
      <c r="G27" s="89"/>
    </row>
    <row r="28" ht="20.4" spans="1:7">
      <c r="A28" s="125">
        <v>6</v>
      </c>
      <c r="B28" s="82" t="s">
        <v>35</v>
      </c>
      <c r="C28" s="89"/>
      <c r="D28" s="89"/>
      <c r="E28" s="89"/>
      <c r="F28" s="89"/>
      <c r="G28" s="89"/>
    </row>
    <row r="29" ht="20.4" spans="1:7">
      <c r="A29" s="72" t="s">
        <v>36</v>
      </c>
      <c r="B29" s="73"/>
      <c r="C29" s="74"/>
      <c r="D29" s="74"/>
      <c r="E29" s="74"/>
      <c r="F29" s="74"/>
      <c r="G29" s="75"/>
    </row>
    <row r="30" spans="1:7">
      <c r="A30" s="92" t="s">
        <v>2</v>
      </c>
      <c r="B30" s="93" t="s">
        <v>3</v>
      </c>
      <c r="C30" s="94" t="s">
        <v>15</v>
      </c>
      <c r="D30" s="95" t="s">
        <v>5</v>
      </c>
      <c r="E30" s="96" t="s">
        <v>16</v>
      </c>
      <c r="F30" s="93" t="s">
        <v>7</v>
      </c>
      <c r="G30" s="97" t="s">
        <v>8</v>
      </c>
    </row>
    <row r="31" ht="34" spans="1:7">
      <c r="A31" s="98">
        <v>1</v>
      </c>
      <c r="B31" s="82" t="s">
        <v>37</v>
      </c>
      <c r="C31" s="127"/>
      <c r="D31" s="128"/>
      <c r="E31" s="99"/>
      <c r="F31" s="100"/>
      <c r="G31" s="129"/>
    </row>
    <row r="32" ht="17" spans="1:7">
      <c r="A32" s="130">
        <v>2</v>
      </c>
      <c r="B32" s="82" t="s">
        <v>38</v>
      </c>
      <c r="C32" s="127" t="s">
        <v>39</v>
      </c>
      <c r="D32" s="128"/>
      <c r="E32" s="99"/>
      <c r="F32" s="100">
        <v>2</v>
      </c>
      <c r="G32" s="101"/>
    </row>
    <row r="33" ht="20.4" spans="1:7">
      <c r="A33" s="72" t="s">
        <v>21</v>
      </c>
      <c r="B33" s="73"/>
      <c r="C33" s="74"/>
      <c r="D33" s="74"/>
      <c r="E33" s="74"/>
      <c r="F33" s="74"/>
      <c r="G33" s="75"/>
    </row>
    <row r="34" spans="1:7">
      <c r="A34" s="92" t="s">
        <v>2</v>
      </c>
      <c r="B34" s="93" t="s">
        <v>3</v>
      </c>
      <c r="C34" s="94" t="s">
        <v>22</v>
      </c>
      <c r="D34" s="95" t="s">
        <v>5</v>
      </c>
      <c r="E34" s="96" t="s">
        <v>16</v>
      </c>
      <c r="F34" s="93" t="s">
        <v>7</v>
      </c>
      <c r="G34" s="93" t="s">
        <v>8</v>
      </c>
    </row>
    <row r="35" ht="51" spans="1:7">
      <c r="A35" s="131">
        <v>1</v>
      </c>
      <c r="B35" s="82" t="s">
        <v>40</v>
      </c>
      <c r="C35" s="82" t="s">
        <v>18</v>
      </c>
      <c r="D35" s="82"/>
      <c r="E35" s="82"/>
      <c r="F35" s="82">
        <v>40</v>
      </c>
      <c r="G35" s="82" t="s">
        <v>41</v>
      </c>
    </row>
    <row r="36" ht="51" spans="1:7">
      <c r="A36" s="131">
        <v>2</v>
      </c>
      <c r="B36" s="82" t="s">
        <v>42</v>
      </c>
      <c r="C36" s="82" t="s">
        <v>43</v>
      </c>
      <c r="D36" s="132" t="s">
        <v>44</v>
      </c>
      <c r="E36" s="82"/>
      <c r="F36" s="82">
        <v>16</v>
      </c>
      <c r="G36" s="82" t="s">
        <v>45</v>
      </c>
    </row>
    <row r="37" ht="17" spans="1:7">
      <c r="A37" s="131">
        <v>3</v>
      </c>
      <c r="B37" s="82" t="s">
        <v>46</v>
      </c>
      <c r="C37" s="82" t="s">
        <v>47</v>
      </c>
      <c r="D37" s="82">
        <v>8717</v>
      </c>
      <c r="E37" s="82"/>
      <c r="F37" s="82">
        <v>8</v>
      </c>
      <c r="G37" s="82"/>
    </row>
    <row r="38" ht="17.6" spans="1:7">
      <c r="A38" s="108" t="s">
        <v>28</v>
      </c>
      <c r="B38" s="108"/>
      <c r="C38" s="108"/>
      <c r="D38" s="56"/>
      <c r="E38" s="108"/>
      <c r="F38" s="108"/>
      <c r="G38" s="108"/>
    </row>
    <row r="39" spans="1:7">
      <c r="A39" s="110"/>
      <c r="B39" s="110"/>
      <c r="C39" s="110"/>
      <c r="D39" s="110"/>
      <c r="E39" s="110"/>
      <c r="F39" s="110"/>
      <c r="G39" s="110"/>
    </row>
    <row r="40" ht="26" spans="1:7">
      <c r="A40" s="133"/>
      <c r="B40" s="133"/>
      <c r="C40" s="133"/>
      <c r="D40" s="133"/>
      <c r="E40" s="133"/>
      <c r="F40" s="133"/>
      <c r="G40" s="134"/>
    </row>
    <row r="41" ht="26" spans="1:7">
      <c r="A41" s="111" t="s">
        <v>48</v>
      </c>
      <c r="B41" s="111"/>
      <c r="C41" s="111"/>
      <c r="D41" s="111"/>
      <c r="E41" s="111"/>
      <c r="F41" s="111"/>
      <c r="G41" s="112"/>
    </row>
    <row r="42" ht="20.4" spans="1:7">
      <c r="A42" s="90" t="s">
        <v>1</v>
      </c>
      <c r="B42" s="113"/>
      <c r="C42" s="91"/>
      <c r="D42" s="91"/>
      <c r="E42" s="91"/>
      <c r="F42" s="91"/>
      <c r="G42" s="114"/>
    </row>
    <row r="43" spans="1:7">
      <c r="A43" s="115" t="s">
        <v>2</v>
      </c>
      <c r="B43" s="93" t="s">
        <v>3</v>
      </c>
      <c r="C43" s="135" t="s">
        <v>4</v>
      </c>
      <c r="D43" s="95" t="s">
        <v>5</v>
      </c>
      <c r="E43" s="93" t="s">
        <v>6</v>
      </c>
      <c r="F43" s="93" t="s">
        <v>7</v>
      </c>
      <c r="G43" s="97" t="s">
        <v>8</v>
      </c>
    </row>
    <row r="44" ht="34" spans="1:7">
      <c r="A44" s="136" t="s">
        <v>49</v>
      </c>
      <c r="B44" s="82" t="s">
        <v>50</v>
      </c>
      <c r="C44" s="82"/>
      <c r="D44" s="82"/>
      <c r="E44" s="82"/>
      <c r="F44" s="82"/>
      <c r="G44" s="84"/>
    </row>
    <row r="45" ht="34" spans="1:7">
      <c r="A45" s="136" t="s">
        <v>51</v>
      </c>
      <c r="B45" s="82" t="s">
        <v>52</v>
      </c>
      <c r="C45" s="82"/>
      <c r="D45" s="82"/>
      <c r="E45" s="82"/>
      <c r="F45" s="82"/>
      <c r="G45" s="84"/>
    </row>
    <row r="46" ht="17" spans="1:7">
      <c r="A46" s="136"/>
      <c r="B46" s="82" t="s">
        <v>53</v>
      </c>
      <c r="C46" s="137"/>
      <c r="D46" s="137"/>
      <c r="E46" s="137"/>
      <c r="F46" s="137"/>
      <c r="G46" s="138"/>
    </row>
    <row r="47" ht="17" spans="1:7">
      <c r="A47" s="136" t="s">
        <v>54</v>
      </c>
      <c r="B47" s="82" t="s">
        <v>55</v>
      </c>
      <c r="C47" s="137"/>
      <c r="D47" s="137"/>
      <c r="E47" s="137"/>
      <c r="F47" s="137"/>
      <c r="G47" s="138"/>
    </row>
    <row r="48" ht="20.4" spans="1:7">
      <c r="A48" s="72" t="s">
        <v>56</v>
      </c>
      <c r="B48" s="73"/>
      <c r="C48" s="74"/>
      <c r="D48" s="74"/>
      <c r="E48" s="74"/>
      <c r="F48" s="74"/>
      <c r="G48" s="75"/>
    </row>
    <row r="49" spans="1:7">
      <c r="A49" s="115" t="s">
        <v>2</v>
      </c>
      <c r="B49" s="93" t="s">
        <v>3</v>
      </c>
      <c r="C49" s="94" t="s">
        <v>22</v>
      </c>
      <c r="D49" s="95" t="s">
        <v>5</v>
      </c>
      <c r="E49" s="96" t="s">
        <v>16</v>
      </c>
      <c r="F49" s="93" t="s">
        <v>7</v>
      </c>
      <c r="G49" s="97" t="s">
        <v>8</v>
      </c>
    </row>
    <row r="50" ht="51" spans="1:7">
      <c r="A50" s="139">
        <v>1</v>
      </c>
      <c r="B50" s="82" t="s">
        <v>57</v>
      </c>
      <c r="C50" s="82"/>
      <c r="D50" s="140"/>
      <c r="E50" s="141"/>
      <c r="F50" s="142"/>
      <c r="G50" s="97"/>
    </row>
    <row r="51" ht="34" spans="1:7">
      <c r="A51" s="139">
        <v>2</v>
      </c>
      <c r="B51" s="82" t="s">
        <v>58</v>
      </c>
      <c r="C51" s="82"/>
      <c r="D51" s="140"/>
      <c r="E51" s="141"/>
      <c r="F51" s="142"/>
      <c r="G51" s="124"/>
    </row>
    <row r="52" ht="31" spans="1:7">
      <c r="A52" s="139">
        <v>3</v>
      </c>
      <c r="B52" s="82" t="s">
        <v>59</v>
      </c>
      <c r="C52" s="82" t="s">
        <v>18</v>
      </c>
      <c r="D52" s="43">
        <v>58954</v>
      </c>
      <c r="E52" s="141"/>
      <c r="F52" s="142">
        <v>10</v>
      </c>
      <c r="G52" s="124" t="s">
        <v>60</v>
      </c>
    </row>
    <row r="53" ht="20.4" spans="1:7">
      <c r="A53" s="90" t="s">
        <v>21</v>
      </c>
      <c r="B53" s="73"/>
      <c r="C53" s="91"/>
      <c r="D53" s="91"/>
      <c r="E53" s="91"/>
      <c r="F53" s="91"/>
      <c r="G53" s="114"/>
    </row>
    <row r="54" spans="1:7">
      <c r="A54" s="92" t="s">
        <v>2</v>
      </c>
      <c r="B54" s="93" t="s">
        <v>3</v>
      </c>
      <c r="C54" s="94" t="s">
        <v>22</v>
      </c>
      <c r="D54" s="95" t="s">
        <v>5</v>
      </c>
      <c r="E54" s="96" t="s">
        <v>16</v>
      </c>
      <c r="F54" s="93" t="s">
        <v>7</v>
      </c>
      <c r="G54" s="97" t="s">
        <v>8</v>
      </c>
    </row>
    <row r="55" spans="1:7">
      <c r="A55" s="143">
        <v>1</v>
      </c>
      <c r="B55" s="144"/>
      <c r="C55" s="145"/>
      <c r="D55" s="140"/>
      <c r="E55" s="141"/>
      <c r="F55" s="142"/>
      <c r="G55" s="146"/>
    </row>
    <row r="56" ht="17.6" spans="1:7">
      <c r="A56" s="108" t="s">
        <v>28</v>
      </c>
      <c r="B56" s="108"/>
      <c r="C56" s="108"/>
      <c r="D56" s="56"/>
      <c r="E56" s="108"/>
      <c r="F56" s="108"/>
      <c r="G56" s="108"/>
    </row>
    <row r="57" spans="1:7">
      <c r="A57" s="110"/>
      <c r="B57" s="110"/>
      <c r="C57" s="110"/>
      <c r="D57" s="110"/>
      <c r="E57" s="110"/>
      <c r="F57" s="110"/>
      <c r="G57" s="110"/>
    </row>
    <row r="58" ht="26" spans="1:7">
      <c r="A58" s="133"/>
      <c r="B58" s="133"/>
      <c r="C58" s="133"/>
      <c r="D58" s="133"/>
      <c r="E58" s="133"/>
      <c r="F58" s="133"/>
      <c r="G58" s="134"/>
    </row>
    <row r="59" ht="26" spans="1:7">
      <c r="A59" s="147" t="s">
        <v>61</v>
      </c>
      <c r="B59" s="147"/>
      <c r="C59" s="147"/>
      <c r="D59" s="147"/>
      <c r="E59" s="147"/>
      <c r="F59" s="147"/>
      <c r="G59" s="148"/>
    </row>
    <row r="60" ht="20.4" spans="1:7">
      <c r="A60" s="72" t="s">
        <v>62</v>
      </c>
      <c r="B60" s="73"/>
      <c r="C60" s="74"/>
      <c r="D60" s="74"/>
      <c r="E60" s="74"/>
      <c r="F60" s="74"/>
      <c r="G60" s="75"/>
    </row>
    <row r="61" spans="1:7">
      <c r="A61" s="115" t="s">
        <v>2</v>
      </c>
      <c r="B61" s="93" t="s">
        <v>3</v>
      </c>
      <c r="C61" s="135" t="s">
        <v>4</v>
      </c>
      <c r="D61" s="95" t="s">
        <v>5</v>
      </c>
      <c r="E61" s="93" t="s">
        <v>6</v>
      </c>
      <c r="F61" s="93" t="s">
        <v>7</v>
      </c>
      <c r="G61" s="97" t="s">
        <v>8</v>
      </c>
    </row>
    <row r="62" ht="18" spans="1:7">
      <c r="A62" s="122">
        <v>1</v>
      </c>
      <c r="B62" s="149" t="s">
        <v>63</v>
      </c>
      <c r="C62" s="118"/>
      <c r="D62" s="150"/>
      <c r="E62" s="151"/>
      <c r="F62" s="84"/>
      <c r="G62" s="121"/>
    </row>
    <row r="63" ht="36" spans="1:7">
      <c r="A63" s="122">
        <v>2</v>
      </c>
      <c r="B63" s="149" t="s">
        <v>64</v>
      </c>
      <c r="C63" s="152"/>
      <c r="D63" s="150"/>
      <c r="E63" s="151"/>
      <c r="F63" s="84"/>
      <c r="G63" s="121"/>
    </row>
    <row r="64" ht="36" spans="1:7">
      <c r="A64" s="125">
        <v>3</v>
      </c>
      <c r="B64" s="149" t="s">
        <v>65</v>
      </c>
      <c r="C64" s="153"/>
      <c r="D64" s="154"/>
      <c r="E64" s="155"/>
      <c r="F64" s="156"/>
      <c r="G64" s="157"/>
    </row>
    <row r="65" ht="17.6" spans="1:7">
      <c r="A65" s="125">
        <v>4</v>
      </c>
      <c r="B65" s="158" t="s">
        <v>66</v>
      </c>
      <c r="C65" s="153"/>
      <c r="D65" s="154"/>
      <c r="E65" s="155"/>
      <c r="F65" s="156"/>
      <c r="G65" s="157"/>
    </row>
    <row r="66" ht="20.4" spans="1:7">
      <c r="A66" s="72" t="s">
        <v>67</v>
      </c>
      <c r="B66" s="73"/>
      <c r="C66" s="74"/>
      <c r="D66" s="74"/>
      <c r="E66" s="74"/>
      <c r="F66" s="74"/>
      <c r="G66" s="75"/>
    </row>
    <row r="67" spans="1:7">
      <c r="A67" s="92" t="s">
        <v>2</v>
      </c>
      <c r="B67" s="93" t="s">
        <v>3</v>
      </c>
      <c r="C67" s="159" t="s">
        <v>15</v>
      </c>
      <c r="D67" s="95" t="s">
        <v>5</v>
      </c>
      <c r="E67" s="96" t="s">
        <v>16</v>
      </c>
      <c r="F67" s="93" t="s">
        <v>7</v>
      </c>
      <c r="G67" s="97" t="s">
        <v>8</v>
      </c>
    </row>
    <row r="68" ht="18" spans="1:7">
      <c r="A68" s="160">
        <v>1</v>
      </c>
      <c r="B68" s="108" t="s">
        <v>68</v>
      </c>
      <c r="C68" s="82" t="s">
        <v>18</v>
      </c>
      <c r="D68" s="82">
        <v>22000</v>
      </c>
      <c r="E68" s="82"/>
      <c r="F68" s="161">
        <v>2</v>
      </c>
      <c r="G68" s="82"/>
    </row>
    <row r="69" ht="20.4" spans="1:7">
      <c r="A69" s="72" t="s">
        <v>21</v>
      </c>
      <c r="B69" s="73"/>
      <c r="C69" s="74"/>
      <c r="D69" s="74"/>
      <c r="E69" s="74"/>
      <c r="F69" s="74"/>
      <c r="G69" s="75"/>
    </row>
    <row r="70" spans="1:7">
      <c r="A70" s="92" t="s">
        <v>2</v>
      </c>
      <c r="B70" s="93" t="s">
        <v>3</v>
      </c>
      <c r="C70" s="159" t="s">
        <v>22</v>
      </c>
      <c r="D70" s="95" t="s">
        <v>5</v>
      </c>
      <c r="E70" s="96" t="s">
        <v>16</v>
      </c>
      <c r="F70" s="93" t="s">
        <v>7</v>
      </c>
      <c r="G70" s="97" t="s">
        <v>8</v>
      </c>
    </row>
    <row r="71" ht="17.6" spans="1:7">
      <c r="A71" s="162">
        <v>1</v>
      </c>
      <c r="B71" s="56"/>
      <c r="C71" s="163"/>
      <c r="D71" s="56"/>
      <c r="E71" s="164"/>
      <c r="F71" s="56"/>
      <c r="G71" s="108"/>
    </row>
    <row r="72" ht="17.6" spans="1:7">
      <c r="A72" s="162">
        <v>2</v>
      </c>
      <c r="B72" s="108"/>
      <c r="C72" s="163"/>
      <c r="D72" s="56"/>
      <c r="E72" s="164"/>
      <c r="F72" s="56"/>
      <c r="G72" s="108"/>
    </row>
    <row r="73" ht="17.6" spans="1:7">
      <c r="A73" s="108" t="s">
        <v>69</v>
      </c>
      <c r="B73" s="108"/>
      <c r="C73" s="108"/>
      <c r="D73" s="56"/>
      <c r="E73" s="108"/>
      <c r="F73" s="108"/>
      <c r="G73" s="108"/>
    </row>
    <row r="74" spans="1:7">
      <c r="A74" s="110"/>
      <c r="B74" s="110"/>
      <c r="C74" s="110"/>
      <c r="D74" s="110"/>
      <c r="E74" s="110"/>
      <c r="F74" s="110"/>
      <c r="G74" s="110"/>
    </row>
    <row r="75" spans="1:7">
      <c r="A75" s="110"/>
      <c r="B75" s="110"/>
      <c r="C75" s="110"/>
      <c r="D75" s="110"/>
      <c r="E75" s="110"/>
      <c r="F75" s="110"/>
      <c r="G75" s="110"/>
    </row>
    <row r="76" ht="26" spans="1:7">
      <c r="A76" s="147" t="s">
        <v>70</v>
      </c>
      <c r="B76" s="147"/>
      <c r="C76" s="147"/>
      <c r="D76" s="147"/>
      <c r="E76" s="147"/>
      <c r="F76" s="147"/>
      <c r="G76" s="148"/>
    </row>
    <row r="77" ht="20.4" spans="1:7">
      <c r="A77" s="72" t="s">
        <v>71</v>
      </c>
      <c r="B77" s="73"/>
      <c r="C77" s="74"/>
      <c r="D77" s="74"/>
      <c r="E77" s="74"/>
      <c r="F77" s="74"/>
      <c r="G77" s="75"/>
    </row>
    <row r="78" spans="1:7">
      <c r="A78" s="115" t="s">
        <v>2</v>
      </c>
      <c r="B78" s="93" t="s">
        <v>3</v>
      </c>
      <c r="C78" s="135" t="s">
        <v>4</v>
      </c>
      <c r="D78" s="95" t="s">
        <v>5</v>
      </c>
      <c r="E78" s="93" t="s">
        <v>6</v>
      </c>
      <c r="F78" s="93" t="s">
        <v>7</v>
      </c>
      <c r="G78" s="97" t="s">
        <v>8</v>
      </c>
    </row>
    <row r="79" ht="17.6" spans="1:7">
      <c r="A79" s="139" t="s">
        <v>49</v>
      </c>
      <c r="B79" s="165" t="s">
        <v>72</v>
      </c>
      <c r="C79" s="166"/>
      <c r="D79" s="167"/>
      <c r="E79" s="168"/>
      <c r="F79" s="84"/>
      <c r="G79" s="121"/>
    </row>
    <row r="80" ht="53" spans="1:7">
      <c r="A80" s="139" t="s">
        <v>51</v>
      </c>
      <c r="B80" s="169" t="s">
        <v>73</v>
      </c>
      <c r="C80" s="166"/>
      <c r="D80" s="167"/>
      <c r="E80" s="168"/>
      <c r="F80" s="84"/>
      <c r="G80" s="121"/>
    </row>
    <row r="81" ht="17.6" spans="1:7">
      <c r="A81" s="139" t="s">
        <v>54</v>
      </c>
      <c r="B81" s="158" t="s">
        <v>74</v>
      </c>
      <c r="C81" s="170"/>
      <c r="D81" s="167"/>
      <c r="E81" s="171"/>
      <c r="F81" s="88"/>
      <c r="G81" s="88"/>
    </row>
    <row r="82" ht="31" spans="1:7">
      <c r="A82" s="139" t="s">
        <v>75</v>
      </c>
      <c r="B82" s="165" t="s">
        <v>76</v>
      </c>
      <c r="C82" s="170"/>
      <c r="D82" s="167"/>
      <c r="E82" s="172"/>
      <c r="F82" s="35"/>
      <c r="G82" s="84"/>
    </row>
    <row r="83" ht="36" spans="1:7">
      <c r="A83" s="139" t="s">
        <v>77</v>
      </c>
      <c r="B83" s="149" t="s">
        <v>78</v>
      </c>
      <c r="C83" s="173"/>
      <c r="D83" s="89"/>
      <c r="E83" s="89"/>
      <c r="F83" s="89"/>
      <c r="G83" s="89"/>
    </row>
    <row r="84" ht="20.4" spans="1:7">
      <c r="A84" s="72" t="s">
        <v>79</v>
      </c>
      <c r="B84" s="73"/>
      <c r="C84" s="74"/>
      <c r="D84" s="74"/>
      <c r="E84" s="74"/>
      <c r="F84" s="74"/>
      <c r="G84" s="75"/>
    </row>
    <row r="85" spans="1:7">
      <c r="A85" s="92" t="s">
        <v>2</v>
      </c>
      <c r="B85" s="93" t="s">
        <v>3</v>
      </c>
      <c r="C85" s="94" t="s">
        <v>22</v>
      </c>
      <c r="D85" s="95" t="s">
        <v>5</v>
      </c>
      <c r="E85" s="96" t="s">
        <v>16</v>
      </c>
      <c r="F85" s="93" t="s">
        <v>7</v>
      </c>
      <c r="G85" s="97" t="s">
        <v>8</v>
      </c>
    </row>
    <row r="86" spans="1:7">
      <c r="A86" s="174">
        <v>1</v>
      </c>
      <c r="B86" s="175" t="s">
        <v>80</v>
      </c>
      <c r="C86" s="176" t="s">
        <v>81</v>
      </c>
      <c r="D86" s="156">
        <v>1103</v>
      </c>
      <c r="E86" s="177"/>
      <c r="F86" s="177">
        <v>2</v>
      </c>
      <c r="G86" s="97"/>
    </row>
    <row r="87" ht="34" spans="1:7">
      <c r="A87" s="174">
        <v>2</v>
      </c>
      <c r="B87" s="82" t="s">
        <v>82</v>
      </c>
      <c r="C87" s="176" t="s">
        <v>83</v>
      </c>
      <c r="D87" s="156">
        <v>9556</v>
      </c>
      <c r="E87" s="177"/>
      <c r="F87" s="177">
        <v>2</v>
      </c>
      <c r="G87" s="124"/>
    </row>
    <row r="88" ht="20.4" spans="1:7">
      <c r="A88" s="72" t="s">
        <v>21</v>
      </c>
      <c r="B88" s="73"/>
      <c r="C88" s="74"/>
      <c r="D88" s="74"/>
      <c r="E88" s="74"/>
      <c r="F88" s="74"/>
      <c r="G88" s="75"/>
    </row>
    <row r="89" spans="1:7">
      <c r="A89" s="92" t="s">
        <v>2</v>
      </c>
      <c r="B89" s="93" t="s">
        <v>3</v>
      </c>
      <c r="C89" s="94" t="s">
        <v>22</v>
      </c>
      <c r="D89" s="95" t="s">
        <v>5</v>
      </c>
      <c r="E89" s="96" t="s">
        <v>16</v>
      </c>
      <c r="F89" s="93" t="s">
        <v>7</v>
      </c>
      <c r="G89" s="97" t="s">
        <v>8</v>
      </c>
    </row>
    <row r="90" ht="17.6" spans="1:7">
      <c r="A90" s="178">
        <v>1</v>
      </c>
      <c r="B90" s="179"/>
      <c r="C90" s="180"/>
      <c r="D90" s="181"/>
      <c r="E90" s="180"/>
      <c r="F90" s="181"/>
      <c r="G90" s="182"/>
    </row>
    <row r="91" ht="17.6" spans="1:7">
      <c r="A91" s="108" t="s">
        <v>84</v>
      </c>
      <c r="B91" s="108"/>
      <c r="C91" s="108"/>
      <c r="D91" s="56"/>
      <c r="E91" s="108"/>
      <c r="F91" s="108"/>
      <c r="G91" s="108"/>
    </row>
    <row r="92" spans="1:7">
      <c r="A92" s="110"/>
      <c r="B92" s="110"/>
      <c r="C92" s="110"/>
      <c r="D92" s="110"/>
      <c r="E92" s="110"/>
      <c r="F92" s="110"/>
      <c r="G92" s="110"/>
    </row>
    <row r="93" ht="26" spans="1:7">
      <c r="A93" s="147" t="s">
        <v>85</v>
      </c>
      <c r="B93" s="147"/>
      <c r="C93" s="147"/>
      <c r="D93" s="147"/>
      <c r="E93" s="147"/>
      <c r="F93" s="147"/>
      <c r="G93" s="148"/>
    </row>
    <row r="94" ht="20.4" spans="1:7">
      <c r="A94" s="72" t="s">
        <v>1</v>
      </c>
      <c r="B94" s="73"/>
      <c r="C94" s="74"/>
      <c r="D94" s="74"/>
      <c r="E94" s="74"/>
      <c r="F94" s="74"/>
      <c r="G94" s="75"/>
    </row>
    <row r="95" spans="1:7">
      <c r="A95" s="115" t="s">
        <v>2</v>
      </c>
      <c r="B95" s="93" t="s">
        <v>3</v>
      </c>
      <c r="C95" s="135" t="s">
        <v>4</v>
      </c>
      <c r="D95" s="95" t="s">
        <v>5</v>
      </c>
      <c r="E95" s="93" t="s">
        <v>6</v>
      </c>
      <c r="F95" s="93" t="s">
        <v>7</v>
      </c>
      <c r="G95" s="97" t="s">
        <v>8</v>
      </c>
    </row>
    <row r="96" ht="36" spans="1:7">
      <c r="A96" s="139" t="s">
        <v>49</v>
      </c>
      <c r="B96" s="149" t="s">
        <v>86</v>
      </c>
      <c r="C96" s="34"/>
      <c r="D96" s="119"/>
      <c r="E96" s="120"/>
      <c r="F96" s="84"/>
      <c r="G96" s="84"/>
    </row>
    <row r="97" ht="17.6" spans="1:7">
      <c r="A97" s="139" t="s">
        <v>51</v>
      </c>
      <c r="B97" s="158" t="s">
        <v>87</v>
      </c>
      <c r="C97" s="34"/>
      <c r="D97" s="119"/>
      <c r="E97" s="120"/>
      <c r="F97" s="84"/>
      <c r="G97" s="84"/>
    </row>
    <row r="98" ht="36" spans="1:7">
      <c r="A98" s="139" t="s">
        <v>54</v>
      </c>
      <c r="B98" s="149" t="s">
        <v>88</v>
      </c>
      <c r="C98" s="34"/>
      <c r="D98" s="119"/>
      <c r="E98" s="123"/>
      <c r="F98" s="88"/>
      <c r="G98" s="88"/>
    </row>
    <row r="99" ht="17.6" spans="1:7">
      <c r="A99" s="183" t="s">
        <v>75</v>
      </c>
      <c r="B99" s="158" t="s">
        <v>89</v>
      </c>
      <c r="C99" s="34"/>
      <c r="D99" s="119"/>
      <c r="E99" s="35"/>
      <c r="F99" s="35"/>
      <c r="G99" s="84"/>
    </row>
    <row r="100" ht="20.4" spans="1:7">
      <c r="A100" s="72" t="s">
        <v>67</v>
      </c>
      <c r="B100" s="73"/>
      <c r="C100" s="74"/>
      <c r="D100" s="74"/>
      <c r="E100" s="74"/>
      <c r="F100" s="74"/>
      <c r="G100" s="75"/>
    </row>
    <row r="101" spans="1:7">
      <c r="A101" s="92" t="s">
        <v>2</v>
      </c>
      <c r="B101" s="93" t="s">
        <v>3</v>
      </c>
      <c r="C101" s="94" t="s">
        <v>15</v>
      </c>
      <c r="D101" s="95" t="s">
        <v>5</v>
      </c>
      <c r="E101" s="96" t="s">
        <v>16</v>
      </c>
      <c r="F101" s="93" t="s">
        <v>7</v>
      </c>
      <c r="G101" s="97" t="s">
        <v>8</v>
      </c>
    </row>
    <row r="102" ht="46" spans="1:7">
      <c r="A102" s="161">
        <v>1</v>
      </c>
      <c r="B102" s="184" t="s">
        <v>90</v>
      </c>
      <c r="C102" s="34" t="s">
        <v>91</v>
      </c>
      <c r="D102" s="88">
        <v>8466</v>
      </c>
      <c r="E102" s="88"/>
      <c r="F102" s="185">
        <v>2</v>
      </c>
      <c r="G102" s="88"/>
    </row>
    <row r="103" ht="31" spans="1:7">
      <c r="A103" s="161">
        <v>2</v>
      </c>
      <c r="B103" s="186" t="s">
        <v>92</v>
      </c>
      <c r="C103" s="34" t="s">
        <v>91</v>
      </c>
      <c r="D103" s="88">
        <v>2250</v>
      </c>
      <c r="E103" s="88"/>
      <c r="F103" s="185">
        <v>2</v>
      </c>
      <c r="G103" s="88"/>
    </row>
    <row r="104" ht="34" spans="1:7">
      <c r="A104" s="187">
        <v>3</v>
      </c>
      <c r="B104" s="188" t="s">
        <v>93</v>
      </c>
      <c r="C104" s="34" t="s">
        <v>94</v>
      </c>
      <c r="D104" s="88">
        <v>2171</v>
      </c>
      <c r="E104" s="88"/>
      <c r="F104" s="185">
        <v>2</v>
      </c>
      <c r="G104" s="89"/>
    </row>
    <row r="105" ht="34" spans="1:7">
      <c r="A105" s="187">
        <v>4</v>
      </c>
      <c r="B105" s="82" t="s">
        <v>95</v>
      </c>
      <c r="C105" s="34" t="s">
        <v>96</v>
      </c>
      <c r="D105" s="88" t="s">
        <v>97</v>
      </c>
      <c r="E105" s="88"/>
      <c r="F105" s="185">
        <v>2</v>
      </c>
      <c r="G105" s="89"/>
    </row>
    <row r="106" ht="51" spans="1:7">
      <c r="A106" s="187">
        <v>5</v>
      </c>
      <c r="B106" s="188" t="s">
        <v>98</v>
      </c>
      <c r="C106" s="34" t="s">
        <v>94</v>
      </c>
      <c r="D106" s="88">
        <v>6044</v>
      </c>
      <c r="E106" s="88"/>
      <c r="F106" s="185">
        <v>2</v>
      </c>
      <c r="G106" s="89"/>
    </row>
    <row r="107" ht="20.4" spans="1:7">
      <c r="A107" s="187">
        <v>6</v>
      </c>
      <c r="B107" s="82" t="s">
        <v>87</v>
      </c>
      <c r="C107" s="34" t="s">
        <v>99</v>
      </c>
      <c r="D107" s="88"/>
      <c r="E107" s="88"/>
      <c r="F107" s="185"/>
      <c r="G107" s="89"/>
    </row>
    <row r="108" ht="34" spans="1:7">
      <c r="A108" s="187">
        <v>7</v>
      </c>
      <c r="B108" s="188" t="s">
        <v>100</v>
      </c>
      <c r="C108" s="189" t="s">
        <v>101</v>
      </c>
      <c r="D108" s="187">
        <v>9407</v>
      </c>
      <c r="E108" s="187"/>
      <c r="F108" s="185">
        <v>2</v>
      </c>
      <c r="G108" s="187"/>
    </row>
    <row r="109" ht="34" spans="1:7">
      <c r="A109" s="187">
        <v>8</v>
      </c>
      <c r="B109" s="187" t="s">
        <v>102</v>
      </c>
      <c r="C109" s="34" t="s">
        <v>94</v>
      </c>
      <c r="D109" s="88">
        <v>3295</v>
      </c>
      <c r="E109" s="88"/>
      <c r="F109" s="185">
        <v>2</v>
      </c>
      <c r="G109" s="187"/>
    </row>
    <row r="110" ht="17" spans="1:7">
      <c r="A110" s="187">
        <v>9</v>
      </c>
      <c r="B110" s="188" t="s">
        <v>103</v>
      </c>
      <c r="C110" s="187" t="s">
        <v>104</v>
      </c>
      <c r="D110" s="88">
        <v>1895</v>
      </c>
      <c r="E110" s="88"/>
      <c r="F110" s="185">
        <v>2</v>
      </c>
      <c r="G110" s="187"/>
    </row>
    <row r="111" ht="34" spans="1:7">
      <c r="A111" s="187">
        <v>10</v>
      </c>
      <c r="B111" s="188" t="s">
        <v>105</v>
      </c>
      <c r="C111" s="187" t="s">
        <v>101</v>
      </c>
      <c r="D111" s="187">
        <v>4892</v>
      </c>
      <c r="E111" s="187"/>
      <c r="F111" s="187">
        <v>2</v>
      </c>
      <c r="G111" s="187"/>
    </row>
    <row r="112" ht="34" spans="1:7">
      <c r="A112" s="187">
        <v>11</v>
      </c>
      <c r="B112" s="82" t="s">
        <v>106</v>
      </c>
      <c r="C112" s="187" t="s">
        <v>104</v>
      </c>
      <c r="D112" s="88">
        <v>2339</v>
      </c>
      <c r="E112" s="88"/>
      <c r="F112" s="185">
        <v>2</v>
      </c>
      <c r="G112" s="187"/>
    </row>
    <row r="113" ht="20.4" spans="1:7">
      <c r="A113" s="72" t="s">
        <v>21</v>
      </c>
      <c r="B113" s="73"/>
      <c r="C113" s="74"/>
      <c r="D113" s="74"/>
      <c r="E113" s="74"/>
      <c r="F113" s="74"/>
      <c r="G113" s="75"/>
    </row>
    <row r="114" spans="1:7">
      <c r="A114" s="92" t="s">
        <v>2</v>
      </c>
      <c r="B114" s="93" t="s">
        <v>3</v>
      </c>
      <c r="C114" s="94" t="s">
        <v>22</v>
      </c>
      <c r="D114" s="95" t="s">
        <v>5</v>
      </c>
      <c r="E114" s="96" t="s">
        <v>16</v>
      </c>
      <c r="F114" s="93" t="s">
        <v>7</v>
      </c>
      <c r="G114" s="97" t="s">
        <v>8</v>
      </c>
    </row>
    <row r="115" ht="34" spans="1:7">
      <c r="A115" s="115">
        <v>1</v>
      </c>
      <c r="B115" s="188" t="s">
        <v>107</v>
      </c>
      <c r="C115" s="88" t="s">
        <v>108</v>
      </c>
      <c r="D115" s="95">
        <v>2232</v>
      </c>
      <c r="E115" s="95"/>
      <c r="F115" s="93">
        <v>8</v>
      </c>
      <c r="G115" s="93"/>
    </row>
    <row r="116" spans="1:7">
      <c r="A116" s="115">
        <v>2</v>
      </c>
      <c r="B116" s="190" t="s">
        <v>109</v>
      </c>
      <c r="C116" s="88" t="s">
        <v>110</v>
      </c>
      <c r="D116" s="95" t="s">
        <v>111</v>
      </c>
      <c r="E116" s="95"/>
      <c r="F116" s="93">
        <v>8</v>
      </c>
      <c r="G116" s="93"/>
    </row>
    <row r="117" ht="51" spans="1:7">
      <c r="A117" s="93">
        <v>3</v>
      </c>
      <c r="B117" s="188" t="s">
        <v>112</v>
      </c>
      <c r="C117" s="88" t="s">
        <v>110</v>
      </c>
      <c r="D117" s="161" t="s">
        <v>113</v>
      </c>
      <c r="E117" s="82"/>
      <c r="F117" s="161">
        <v>16</v>
      </c>
      <c r="G117" s="82" t="s">
        <v>60</v>
      </c>
    </row>
    <row r="118" ht="17.6" spans="1:7">
      <c r="A118" s="93">
        <v>4</v>
      </c>
      <c r="B118" s="82"/>
      <c r="C118" s="108"/>
      <c r="D118" s="56"/>
      <c r="E118" s="108"/>
      <c r="F118" s="56"/>
      <c r="G118" s="108"/>
    </row>
    <row r="119" ht="17.6" spans="1:7">
      <c r="A119" s="108" t="s">
        <v>114</v>
      </c>
      <c r="B119" s="108"/>
      <c r="C119" s="108"/>
      <c r="D119" s="56"/>
      <c r="E119" s="108"/>
      <c r="F119" s="108"/>
      <c r="G119" s="108"/>
    </row>
    <row r="120" spans="1:7">
      <c r="A120" s="83"/>
      <c r="B120" s="83"/>
      <c r="C120" s="83"/>
      <c r="D120" s="83"/>
      <c r="E120" s="83"/>
      <c r="F120" s="83"/>
      <c r="G120" s="83"/>
    </row>
    <row r="121" spans="1:7">
      <c r="A121" s="83"/>
      <c r="B121" s="83"/>
      <c r="C121" s="83"/>
      <c r="D121" s="83"/>
      <c r="E121" s="83"/>
      <c r="F121" s="83"/>
      <c r="G121" s="83"/>
    </row>
    <row r="122" ht="26" spans="1:7">
      <c r="A122" s="147" t="s">
        <v>115</v>
      </c>
      <c r="B122" s="147"/>
      <c r="C122" s="147"/>
      <c r="D122" s="147"/>
      <c r="E122" s="147"/>
      <c r="F122" s="147"/>
      <c r="G122" s="148"/>
    </row>
    <row r="123" ht="20.4" spans="1:7">
      <c r="A123" s="72" t="s">
        <v>116</v>
      </c>
      <c r="B123" s="73"/>
      <c r="C123" s="74"/>
      <c r="D123" s="74"/>
      <c r="E123" s="74"/>
      <c r="F123" s="74"/>
      <c r="G123" s="75"/>
    </row>
    <row r="124" spans="1:7">
      <c r="A124" s="115" t="s">
        <v>2</v>
      </c>
      <c r="B124" s="93" t="s">
        <v>3</v>
      </c>
      <c r="C124" s="135" t="s">
        <v>4</v>
      </c>
      <c r="D124" s="95" t="s">
        <v>5</v>
      </c>
      <c r="E124" s="93" t="s">
        <v>6</v>
      </c>
      <c r="F124" s="93" t="s">
        <v>7</v>
      </c>
      <c r="G124" s="97" t="s">
        <v>8</v>
      </c>
    </row>
    <row r="125" ht="17.6" spans="1:7">
      <c r="A125" s="183" t="s">
        <v>49</v>
      </c>
      <c r="B125" s="191" t="s">
        <v>117</v>
      </c>
      <c r="C125" s="34"/>
      <c r="D125" s="119"/>
      <c r="E125" s="120"/>
      <c r="F125" s="84"/>
      <c r="G125" s="84"/>
    </row>
    <row r="126" ht="17.6" spans="1:7">
      <c r="A126" s="183" t="s">
        <v>51</v>
      </c>
      <c r="B126" s="191" t="s">
        <v>118</v>
      </c>
      <c r="C126" s="34"/>
      <c r="D126" s="119"/>
      <c r="E126" s="120"/>
      <c r="F126" s="84"/>
      <c r="G126" s="84"/>
    </row>
    <row r="127" ht="17.6" spans="1:7">
      <c r="A127" s="183" t="s">
        <v>54</v>
      </c>
      <c r="B127" s="191" t="s">
        <v>119</v>
      </c>
      <c r="C127" s="34"/>
      <c r="D127" s="161"/>
      <c r="E127" s="123"/>
      <c r="F127" s="88"/>
      <c r="G127" s="88"/>
    </row>
    <row r="128" ht="20.4" spans="1:7">
      <c r="A128" s="183" t="s">
        <v>75</v>
      </c>
      <c r="B128" s="191" t="s">
        <v>120</v>
      </c>
      <c r="C128" s="89"/>
      <c r="D128" s="89"/>
      <c r="E128" s="89"/>
      <c r="F128" s="89"/>
      <c r="G128" s="89"/>
    </row>
    <row r="129" ht="20.4" spans="1:7">
      <c r="A129" s="183" t="s">
        <v>77</v>
      </c>
      <c r="B129" s="191" t="s">
        <v>121</v>
      </c>
      <c r="C129" s="89"/>
      <c r="D129" s="89"/>
      <c r="E129" s="89"/>
      <c r="F129" s="89"/>
      <c r="G129" s="89"/>
    </row>
    <row r="130" ht="20.4" spans="1:7">
      <c r="A130" s="183" t="s">
        <v>122</v>
      </c>
      <c r="B130" s="191" t="s">
        <v>123</v>
      </c>
      <c r="C130" s="89"/>
      <c r="D130" s="89"/>
      <c r="E130" s="89"/>
      <c r="F130" s="89"/>
      <c r="G130" s="89"/>
    </row>
    <row r="131" ht="20.4" spans="1:7">
      <c r="A131" s="90" t="s">
        <v>67</v>
      </c>
      <c r="B131" s="73"/>
      <c r="C131" s="91"/>
      <c r="D131" s="91"/>
      <c r="E131" s="91"/>
      <c r="F131" s="91"/>
      <c r="G131" s="114"/>
    </row>
    <row r="132" spans="1:7">
      <c r="A132" s="92" t="s">
        <v>2</v>
      </c>
      <c r="B132" s="93" t="s">
        <v>3</v>
      </c>
      <c r="C132" s="94" t="s">
        <v>15</v>
      </c>
      <c r="D132" s="95" t="s">
        <v>5</v>
      </c>
      <c r="E132" s="96" t="s">
        <v>16</v>
      </c>
      <c r="F132" s="93" t="s">
        <v>7</v>
      </c>
      <c r="G132" s="97" t="s">
        <v>8</v>
      </c>
    </row>
    <row r="133" ht="34" spans="1:7">
      <c r="A133" s="192">
        <v>1</v>
      </c>
      <c r="B133" s="193" t="s">
        <v>124</v>
      </c>
      <c r="C133" s="127" t="s">
        <v>91</v>
      </c>
      <c r="D133" s="101">
        <v>1963</v>
      </c>
      <c r="E133" s="101"/>
      <c r="F133" s="101">
        <v>2</v>
      </c>
      <c r="G133" s="194"/>
    </row>
    <row r="134" ht="34" spans="1:7">
      <c r="A134" s="192">
        <v>2</v>
      </c>
      <c r="B134" s="188" t="s">
        <v>125</v>
      </c>
      <c r="C134" s="195" t="s">
        <v>96</v>
      </c>
      <c r="D134" s="101">
        <v>1963</v>
      </c>
      <c r="E134" s="101"/>
      <c r="F134" s="101">
        <v>2</v>
      </c>
      <c r="G134" s="196"/>
    </row>
    <row r="135" ht="51" spans="1:7">
      <c r="A135" s="192">
        <v>3</v>
      </c>
      <c r="B135" s="188" t="s">
        <v>126</v>
      </c>
      <c r="C135" s="197" t="s">
        <v>127</v>
      </c>
      <c r="D135" s="187">
        <v>1374</v>
      </c>
      <c r="E135" s="187"/>
      <c r="F135" s="187">
        <v>2</v>
      </c>
      <c r="G135" s="196"/>
    </row>
    <row r="136" ht="51" spans="1:7">
      <c r="A136" s="192">
        <v>4</v>
      </c>
      <c r="B136" s="188" t="s">
        <v>128</v>
      </c>
      <c r="C136" s="127" t="s">
        <v>91</v>
      </c>
      <c r="D136" s="101">
        <v>2662</v>
      </c>
      <c r="E136" s="101"/>
      <c r="F136" s="101">
        <v>2</v>
      </c>
      <c r="G136" s="196"/>
    </row>
    <row r="137" ht="34" spans="1:7">
      <c r="A137" s="192">
        <v>5</v>
      </c>
      <c r="B137" s="188" t="s">
        <v>129</v>
      </c>
      <c r="C137" s="187" t="s">
        <v>130</v>
      </c>
      <c r="D137" s="187">
        <v>8230</v>
      </c>
      <c r="E137" s="187"/>
      <c r="F137" s="187">
        <v>40</v>
      </c>
      <c r="G137" s="196" t="s">
        <v>131</v>
      </c>
    </row>
    <row r="138" ht="20.4" spans="1:7">
      <c r="A138" s="72" t="s">
        <v>21</v>
      </c>
      <c r="B138" s="73"/>
      <c r="C138" s="74"/>
      <c r="D138" s="74"/>
      <c r="E138" s="74"/>
      <c r="F138" s="74"/>
      <c r="G138" s="75"/>
    </row>
    <row r="139" spans="1:7">
      <c r="A139" s="92" t="s">
        <v>2</v>
      </c>
      <c r="B139" s="93" t="s">
        <v>3</v>
      </c>
      <c r="C139" s="94" t="s">
        <v>22</v>
      </c>
      <c r="D139" s="95" t="s">
        <v>5</v>
      </c>
      <c r="E139" s="96" t="s">
        <v>16</v>
      </c>
      <c r="F139" s="93" t="s">
        <v>7</v>
      </c>
      <c r="G139" s="97" t="s">
        <v>8</v>
      </c>
    </row>
    <row r="140" ht="53" spans="1:7">
      <c r="A140" s="198">
        <v>1</v>
      </c>
      <c r="B140" s="199" t="s">
        <v>132</v>
      </c>
      <c r="C140" s="200" t="s">
        <v>133</v>
      </c>
      <c r="D140" s="201">
        <v>1425</v>
      </c>
      <c r="E140" s="202"/>
      <c r="F140" s="202">
        <v>16</v>
      </c>
      <c r="G140" s="203" t="s">
        <v>134</v>
      </c>
    </row>
    <row r="141" ht="36" spans="1:7">
      <c r="A141" s="198">
        <v>2</v>
      </c>
      <c r="B141" s="204" t="s">
        <v>135</v>
      </c>
      <c r="C141" s="166" t="s">
        <v>136</v>
      </c>
      <c r="D141" s="201" t="s">
        <v>137</v>
      </c>
      <c r="E141" s="205"/>
      <c r="F141" s="202">
        <v>8</v>
      </c>
      <c r="G141" s="203"/>
    </row>
    <row r="142" ht="36" spans="1:7">
      <c r="A142" s="198">
        <v>3</v>
      </c>
      <c r="B142" s="204" t="s">
        <v>138</v>
      </c>
      <c r="C142" s="166" t="s">
        <v>139</v>
      </c>
      <c r="D142" s="201" t="s">
        <v>97</v>
      </c>
      <c r="E142" s="205"/>
      <c r="F142" s="202">
        <v>8</v>
      </c>
      <c r="G142" s="203"/>
    </row>
    <row r="143" ht="36" spans="1:7">
      <c r="A143" s="198">
        <v>4</v>
      </c>
      <c r="B143" s="204" t="s">
        <v>140</v>
      </c>
      <c r="C143" s="166" t="s">
        <v>139</v>
      </c>
      <c r="D143" s="201" t="s">
        <v>141</v>
      </c>
      <c r="E143" s="202"/>
      <c r="F143" s="202">
        <v>8</v>
      </c>
      <c r="G143" s="203"/>
    </row>
    <row r="144" ht="36" spans="1:7">
      <c r="A144" s="198">
        <v>5</v>
      </c>
      <c r="B144" s="204" t="s">
        <v>142</v>
      </c>
      <c r="C144" s="166" t="s">
        <v>139</v>
      </c>
      <c r="D144" s="201" t="s">
        <v>143</v>
      </c>
      <c r="E144" s="205"/>
      <c r="F144" s="202">
        <v>8</v>
      </c>
      <c r="G144" s="203"/>
    </row>
    <row r="145" ht="36" spans="1:7">
      <c r="A145" s="198">
        <v>6</v>
      </c>
      <c r="B145" s="206" t="s">
        <v>144</v>
      </c>
      <c r="C145" s="166" t="s">
        <v>139</v>
      </c>
      <c r="D145" s="201" t="s">
        <v>143</v>
      </c>
      <c r="E145" s="202"/>
      <c r="F145" s="202">
        <v>8</v>
      </c>
      <c r="G145" s="203"/>
    </row>
    <row r="146" ht="18" spans="1:7">
      <c r="A146" s="207">
        <v>7</v>
      </c>
      <c r="B146" s="204" t="s">
        <v>145</v>
      </c>
      <c r="C146" s="166" t="s">
        <v>18</v>
      </c>
      <c r="D146" s="201"/>
      <c r="E146" s="205"/>
      <c r="F146" s="202">
        <v>8</v>
      </c>
      <c r="G146" s="203"/>
    </row>
    <row r="147" ht="18.35" spans="1:7">
      <c r="A147" s="208" t="s">
        <v>146</v>
      </c>
      <c r="B147" s="204"/>
      <c r="C147" s="209"/>
      <c r="D147" s="210"/>
      <c r="E147" s="211"/>
      <c r="F147" s="212"/>
      <c r="G147" s="213"/>
    </row>
    <row r="148" ht="17.55" spans="1:7">
      <c r="A148" s="83"/>
      <c r="B148" s="82"/>
      <c r="C148" s="83"/>
      <c r="D148" s="83"/>
      <c r="E148" s="83"/>
      <c r="F148" s="83"/>
      <c r="G148" s="83"/>
    </row>
    <row r="149" ht="26" spans="1:7">
      <c r="A149" s="214" t="s">
        <v>147</v>
      </c>
      <c r="B149" s="147"/>
      <c r="C149" s="215"/>
      <c r="D149" s="216"/>
      <c r="E149" s="216"/>
      <c r="F149" s="217"/>
      <c r="G149" s="218"/>
    </row>
    <row r="150" ht="20.4" spans="1:7">
      <c r="A150" s="72" t="s">
        <v>1</v>
      </c>
      <c r="B150" s="73"/>
      <c r="C150" s="74"/>
      <c r="D150" s="74"/>
      <c r="E150" s="74"/>
      <c r="F150" s="74"/>
      <c r="G150" s="75"/>
    </row>
    <row r="151" spans="1:7">
      <c r="A151" s="115" t="s">
        <v>2</v>
      </c>
      <c r="B151" s="93" t="s">
        <v>3</v>
      </c>
      <c r="C151" s="135" t="s">
        <v>4</v>
      </c>
      <c r="D151" s="95" t="s">
        <v>5</v>
      </c>
      <c r="E151" s="93" t="s">
        <v>6</v>
      </c>
      <c r="F151" s="93" t="s">
        <v>7</v>
      </c>
      <c r="G151" s="97" t="s">
        <v>8</v>
      </c>
    </row>
    <row r="152" ht="36" spans="1:7">
      <c r="A152" s="183" t="s">
        <v>49</v>
      </c>
      <c r="B152" s="219" t="s">
        <v>148</v>
      </c>
      <c r="C152" s="126"/>
      <c r="D152" s="220"/>
      <c r="E152" s="101"/>
      <c r="F152" s="221"/>
      <c r="G152" s="88"/>
    </row>
    <row r="153" ht="20.4" spans="1:7">
      <c r="A153" s="183" t="s">
        <v>51</v>
      </c>
      <c r="B153" s="222" t="s">
        <v>149</v>
      </c>
      <c r="C153" s="187" t="s">
        <v>150</v>
      </c>
      <c r="D153" s="191">
        <v>12233</v>
      </c>
      <c r="E153" s="89"/>
      <c r="F153" s="89"/>
      <c r="G153" s="89"/>
    </row>
    <row r="154" ht="20.4" spans="1:7">
      <c r="A154" s="183" t="s">
        <v>54</v>
      </c>
      <c r="B154" s="219" t="s">
        <v>151</v>
      </c>
      <c r="C154" s="89"/>
      <c r="D154" s="89"/>
      <c r="E154" s="89"/>
      <c r="F154" s="89"/>
      <c r="G154" s="89"/>
    </row>
    <row r="155" ht="20.4" spans="1:7">
      <c r="A155" s="183" t="s">
        <v>75</v>
      </c>
      <c r="B155" s="219" t="s">
        <v>152</v>
      </c>
      <c r="C155" s="89"/>
      <c r="D155" s="89"/>
      <c r="E155" s="89"/>
      <c r="F155" s="89"/>
      <c r="G155" s="89"/>
    </row>
    <row r="156" ht="20.4" spans="1:7">
      <c r="A156" s="183" t="s">
        <v>77</v>
      </c>
      <c r="B156" s="219" t="s">
        <v>153</v>
      </c>
      <c r="C156" s="89"/>
      <c r="D156" s="89"/>
      <c r="E156" s="89"/>
      <c r="F156" s="89"/>
      <c r="G156" s="89"/>
    </row>
    <row r="157" ht="20.4" spans="1:7">
      <c r="A157" s="72" t="s">
        <v>21</v>
      </c>
      <c r="B157" s="73"/>
      <c r="C157" s="74"/>
      <c r="D157" s="74"/>
      <c r="E157" s="74"/>
      <c r="F157" s="74"/>
      <c r="G157" s="75"/>
    </row>
    <row r="158" spans="1:7">
      <c r="A158" s="92" t="s">
        <v>2</v>
      </c>
      <c r="B158" s="93" t="s">
        <v>3</v>
      </c>
      <c r="C158" s="94" t="s">
        <v>22</v>
      </c>
      <c r="D158" s="95" t="s">
        <v>5</v>
      </c>
      <c r="E158" s="96" t="s">
        <v>16</v>
      </c>
      <c r="F158" s="93" t="s">
        <v>7</v>
      </c>
      <c r="G158" s="97" t="s">
        <v>8</v>
      </c>
    </row>
    <row r="159" ht="46" spans="1:7">
      <c r="A159" s="207">
        <v>1</v>
      </c>
      <c r="B159" s="149" t="s">
        <v>154</v>
      </c>
      <c r="C159" s="126" t="s">
        <v>136</v>
      </c>
      <c r="D159" s="220" t="s">
        <v>155</v>
      </c>
      <c r="E159" s="101"/>
      <c r="F159" s="221">
        <v>14</v>
      </c>
      <c r="G159" s="88" t="s">
        <v>156</v>
      </c>
    </row>
    <row r="160" ht="18.35" spans="1:7">
      <c r="A160" s="208" t="s">
        <v>157</v>
      </c>
      <c r="B160" s="204"/>
      <c r="C160" s="209"/>
      <c r="D160" s="210"/>
      <c r="E160" s="211"/>
      <c r="F160" s="212"/>
      <c r="G160" s="213"/>
    </row>
    <row r="161" ht="17.55" spans="1:7">
      <c r="A161" s="83"/>
      <c r="B161" s="82"/>
      <c r="C161" s="83"/>
      <c r="D161" s="83"/>
      <c r="E161" s="83"/>
      <c r="F161" s="83"/>
      <c r="G161" s="83"/>
    </row>
    <row r="162" ht="26" spans="1:7">
      <c r="A162" s="223" t="s">
        <v>158</v>
      </c>
      <c r="B162" s="111"/>
      <c r="C162" s="224"/>
      <c r="D162" s="225"/>
      <c r="E162" s="225"/>
      <c r="F162" s="226"/>
      <c r="G162" s="227"/>
    </row>
    <row r="163" ht="20.4" spans="1:7">
      <c r="A163" s="72" t="s">
        <v>159</v>
      </c>
      <c r="B163" s="73"/>
      <c r="C163" s="74"/>
      <c r="D163" s="74"/>
      <c r="E163" s="74"/>
      <c r="F163" s="74"/>
      <c r="G163" s="75"/>
    </row>
    <row r="164" spans="1:7">
      <c r="A164" s="115" t="s">
        <v>2</v>
      </c>
      <c r="B164" s="93" t="s">
        <v>3</v>
      </c>
      <c r="C164" s="135" t="s">
        <v>4</v>
      </c>
      <c r="D164" s="95" t="s">
        <v>5</v>
      </c>
      <c r="E164" s="93" t="s">
        <v>6</v>
      </c>
      <c r="F164" s="93" t="s">
        <v>7</v>
      </c>
      <c r="G164" s="97" t="s">
        <v>8</v>
      </c>
    </row>
    <row r="165" ht="18" spans="1:7">
      <c r="A165" s="228" t="s">
        <v>49</v>
      </c>
      <c r="B165" s="222" t="s">
        <v>160</v>
      </c>
      <c r="C165" s="82" t="s">
        <v>150</v>
      </c>
      <c r="D165" s="82">
        <v>10000</v>
      </c>
      <c r="E165" s="82"/>
      <c r="F165" s="229">
        <v>5</v>
      </c>
      <c r="G165" s="230"/>
    </row>
    <row r="166" ht="18" spans="1:7">
      <c r="A166" s="228" t="s">
        <v>51</v>
      </c>
      <c r="B166" s="222" t="s">
        <v>161</v>
      </c>
      <c r="C166" s="126"/>
      <c r="D166" s="191">
        <v>5603</v>
      </c>
      <c r="E166" s="151"/>
      <c r="F166" s="229"/>
      <c r="G166" s="84"/>
    </row>
    <row r="167" ht="18" spans="1:7">
      <c r="A167" s="228" t="s">
        <v>54</v>
      </c>
      <c r="B167" s="219" t="s">
        <v>162</v>
      </c>
      <c r="C167" s="126"/>
      <c r="D167" s="191">
        <v>5157</v>
      </c>
      <c r="E167" s="155"/>
      <c r="F167" s="101"/>
      <c r="G167" s="88"/>
    </row>
    <row r="168" ht="36" spans="1:7">
      <c r="A168" s="228" t="s">
        <v>75</v>
      </c>
      <c r="B168" s="219" t="s">
        <v>163</v>
      </c>
      <c r="C168" s="126"/>
      <c r="D168" s="150"/>
      <c r="E168" s="231"/>
      <c r="F168" s="231"/>
      <c r="G168" s="84"/>
    </row>
    <row r="169" ht="18" spans="1:7">
      <c r="A169" s="228" t="s">
        <v>77</v>
      </c>
      <c r="B169" s="219" t="s">
        <v>164</v>
      </c>
      <c r="C169" s="126"/>
      <c r="D169" s="150"/>
      <c r="E169" s="231"/>
      <c r="F169" s="231"/>
      <c r="G169" s="84"/>
    </row>
    <row r="170" ht="20.4" spans="1:7">
      <c r="A170" s="228" t="s">
        <v>122</v>
      </c>
      <c r="B170" s="219" t="s">
        <v>165</v>
      </c>
      <c r="C170" s="232"/>
      <c r="D170" s="232"/>
      <c r="E170" s="232"/>
      <c r="F170" s="232"/>
      <c r="G170" s="89"/>
    </row>
    <row r="171" ht="36" spans="1:7">
      <c r="A171" s="228" t="s">
        <v>166</v>
      </c>
      <c r="B171" s="219" t="s">
        <v>148</v>
      </c>
      <c r="C171" s="89"/>
      <c r="D171" s="89"/>
      <c r="E171" s="89"/>
      <c r="F171" s="89"/>
      <c r="G171" s="89"/>
    </row>
    <row r="172" ht="20.4" spans="1:7">
      <c r="A172" s="72" t="s">
        <v>79</v>
      </c>
      <c r="B172" s="73"/>
      <c r="C172" s="74"/>
      <c r="D172" s="74"/>
      <c r="E172" s="74"/>
      <c r="F172" s="74"/>
      <c r="G172" s="75"/>
    </row>
    <row r="173" spans="1:7">
      <c r="A173" s="92" t="s">
        <v>2</v>
      </c>
      <c r="B173" s="93" t="s">
        <v>3</v>
      </c>
      <c r="C173" s="94" t="s">
        <v>15</v>
      </c>
      <c r="D173" s="95" t="s">
        <v>5</v>
      </c>
      <c r="E173" s="96" t="s">
        <v>16</v>
      </c>
      <c r="F173" s="93" t="s">
        <v>7</v>
      </c>
      <c r="G173" s="97" t="s">
        <v>8</v>
      </c>
    </row>
    <row r="174" ht="34" spans="1:7">
      <c r="A174" s="192">
        <v>1</v>
      </c>
      <c r="B174" s="82" t="s">
        <v>167</v>
      </c>
      <c r="C174" s="161" t="s">
        <v>83</v>
      </c>
      <c r="D174" s="161" t="s">
        <v>168</v>
      </c>
      <c r="E174" s="82"/>
      <c r="F174" s="161">
        <v>10</v>
      </c>
      <c r="G174" s="82" t="s">
        <v>60</v>
      </c>
    </row>
    <row r="175" ht="51" spans="1:7">
      <c r="A175" s="174">
        <v>2</v>
      </c>
      <c r="B175" s="82" t="s">
        <v>169</v>
      </c>
      <c r="C175" s="161" t="s">
        <v>83</v>
      </c>
      <c r="D175" s="161">
        <v>1726</v>
      </c>
      <c r="E175" s="151"/>
      <c r="F175" s="221">
        <v>2</v>
      </c>
      <c r="G175" s="88"/>
    </row>
    <row r="176" ht="51" spans="1:7">
      <c r="A176" s="233">
        <v>3</v>
      </c>
      <c r="B176" s="234" t="s">
        <v>170</v>
      </c>
      <c r="C176" s="101" t="s">
        <v>171</v>
      </c>
      <c r="D176" s="235" t="s">
        <v>172</v>
      </c>
      <c r="E176" s="235"/>
      <c r="F176" s="221">
        <v>10</v>
      </c>
      <c r="G176" s="232" t="s">
        <v>173</v>
      </c>
    </row>
    <row r="177" ht="20.4" spans="1:7">
      <c r="A177" s="72" t="s">
        <v>21</v>
      </c>
      <c r="B177" s="73"/>
      <c r="C177" s="74"/>
      <c r="D177" s="74"/>
      <c r="E177" s="74"/>
      <c r="F177" s="74"/>
      <c r="G177" s="75"/>
    </row>
    <row r="178" spans="1:7">
      <c r="A178" s="92" t="s">
        <v>2</v>
      </c>
      <c r="B178" s="93" t="s">
        <v>3</v>
      </c>
      <c r="C178" s="94" t="s">
        <v>22</v>
      </c>
      <c r="D178" s="95" t="s">
        <v>5</v>
      </c>
      <c r="E178" s="96" t="s">
        <v>16</v>
      </c>
      <c r="F178" s="93" t="s">
        <v>7</v>
      </c>
      <c r="G178" s="97" t="s">
        <v>8</v>
      </c>
    </row>
    <row r="179" ht="36" spans="1:7">
      <c r="A179" s="236">
        <v>1</v>
      </c>
      <c r="B179" s="108" t="s">
        <v>174</v>
      </c>
      <c r="C179" s="109" t="s">
        <v>108</v>
      </c>
      <c r="D179" s="56">
        <v>1855</v>
      </c>
      <c r="E179" s="237"/>
      <c r="F179" s="106">
        <v>8</v>
      </c>
      <c r="G179" s="107"/>
    </row>
    <row r="180" ht="53" spans="1:7">
      <c r="A180" s="236">
        <v>2</v>
      </c>
      <c r="B180" s="188" t="s">
        <v>175</v>
      </c>
      <c r="C180" s="105" t="s">
        <v>176</v>
      </c>
      <c r="D180" s="82"/>
      <c r="E180" s="237"/>
      <c r="F180" s="106">
        <v>8</v>
      </c>
      <c r="G180" s="107"/>
    </row>
    <row r="181" ht="17.6" spans="1:7">
      <c r="A181" s="236">
        <v>3</v>
      </c>
      <c r="B181" s="82"/>
      <c r="C181" s="105"/>
      <c r="D181" s="238"/>
      <c r="E181" s="237"/>
      <c r="F181" s="106"/>
      <c r="G181" s="107"/>
    </row>
    <row r="182" ht="17.6" spans="1:7">
      <c r="A182" s="236">
        <v>4</v>
      </c>
      <c r="B182" s="108"/>
      <c r="C182" s="105"/>
      <c r="D182" s="238"/>
      <c r="E182" s="237"/>
      <c r="F182" s="237"/>
      <c r="G182" s="107"/>
    </row>
    <row r="183" ht="18.35" spans="1:7">
      <c r="A183" s="239" t="s">
        <v>177</v>
      </c>
      <c r="B183" s="108"/>
      <c r="C183" s="240"/>
      <c r="D183" s="241"/>
      <c r="E183" s="242"/>
      <c r="F183" s="243"/>
      <c r="G183" s="244"/>
    </row>
    <row r="184" ht="17.55" spans="1:7">
      <c r="A184" s="83"/>
      <c r="B184" s="82"/>
      <c r="C184" s="83"/>
      <c r="D184" s="83"/>
      <c r="E184" s="83"/>
      <c r="F184" s="83"/>
      <c r="G184" s="83"/>
    </row>
    <row r="185" ht="26" spans="1:7">
      <c r="A185" s="223" t="s">
        <v>178</v>
      </c>
      <c r="B185" s="111"/>
      <c r="C185" s="224"/>
      <c r="D185" s="225"/>
      <c r="E185" s="225"/>
      <c r="F185" s="226"/>
      <c r="G185" s="227"/>
    </row>
    <row r="186" ht="20.4" spans="1:7">
      <c r="A186" s="72" t="s">
        <v>179</v>
      </c>
      <c r="B186" s="73"/>
      <c r="C186" s="74"/>
      <c r="D186" s="74"/>
      <c r="E186" s="74"/>
      <c r="F186" s="74"/>
      <c r="G186" s="75"/>
    </row>
    <row r="187" spans="1:7">
      <c r="A187" s="115" t="s">
        <v>2</v>
      </c>
      <c r="B187" s="93" t="s">
        <v>3</v>
      </c>
      <c r="C187" s="93" t="s">
        <v>4</v>
      </c>
      <c r="D187" s="95" t="s">
        <v>5</v>
      </c>
      <c r="E187" s="93" t="s">
        <v>6</v>
      </c>
      <c r="F187" s="93" t="s">
        <v>7</v>
      </c>
      <c r="G187" s="97" t="s">
        <v>8</v>
      </c>
    </row>
    <row r="188" ht="17.6" spans="1:7">
      <c r="A188" s="136" t="s">
        <v>49</v>
      </c>
      <c r="B188" s="191" t="s">
        <v>180</v>
      </c>
      <c r="C188" s="245"/>
      <c r="D188" s="191">
        <v>8433</v>
      </c>
      <c r="E188" s="151"/>
      <c r="F188" s="84"/>
      <c r="G188" s="84"/>
    </row>
    <row r="189" ht="18" spans="1:7">
      <c r="A189" s="136" t="s">
        <v>51</v>
      </c>
      <c r="B189" s="246" t="s">
        <v>181</v>
      </c>
      <c r="C189" s="245" t="s">
        <v>150</v>
      </c>
      <c r="D189" s="191">
        <v>7780</v>
      </c>
      <c r="E189" s="151"/>
      <c r="F189" s="84"/>
      <c r="G189" s="84"/>
    </row>
    <row r="190" ht="18" spans="1:7">
      <c r="A190" s="136" t="s">
        <v>54</v>
      </c>
      <c r="B190" s="191" t="s">
        <v>182</v>
      </c>
      <c r="C190" s="245"/>
      <c r="D190" s="191">
        <v>6551</v>
      </c>
      <c r="E190" s="155"/>
      <c r="F190" s="88"/>
      <c r="G190" s="88"/>
    </row>
    <row r="191" ht="18" spans="1:7">
      <c r="A191" s="136">
        <v>4</v>
      </c>
      <c r="B191" s="32" t="s">
        <v>183</v>
      </c>
      <c r="C191" s="245"/>
      <c r="D191" s="191">
        <v>6490</v>
      </c>
      <c r="E191" s="231"/>
      <c r="F191" s="35"/>
      <c r="G191" s="84"/>
    </row>
    <row r="192" ht="20.4" spans="1:7">
      <c r="A192" s="136">
        <v>5</v>
      </c>
      <c r="B192" s="191" t="s">
        <v>184</v>
      </c>
      <c r="C192" s="246"/>
      <c r="D192" s="191"/>
      <c r="E192" s="89"/>
      <c r="F192" s="89"/>
      <c r="G192" s="89"/>
    </row>
    <row r="193" ht="20.4" spans="1:7">
      <c r="A193" s="136">
        <v>6</v>
      </c>
      <c r="B193" s="191" t="s">
        <v>185</v>
      </c>
      <c r="C193" s="191"/>
      <c r="D193" s="191"/>
      <c r="E193" s="89"/>
      <c r="F193" s="89"/>
      <c r="G193" s="89"/>
    </row>
    <row r="194" ht="20.4" spans="1:7">
      <c r="A194" s="136">
        <v>7</v>
      </c>
      <c r="B194" s="191" t="s">
        <v>186</v>
      </c>
      <c r="C194" s="191"/>
      <c r="D194" s="191"/>
      <c r="E194" s="89"/>
      <c r="F194" s="89"/>
      <c r="G194" s="89"/>
    </row>
    <row r="195" ht="20.4" spans="1:7">
      <c r="A195" s="136">
        <v>8</v>
      </c>
      <c r="B195" s="191" t="s">
        <v>187</v>
      </c>
      <c r="C195" s="191"/>
      <c r="D195" s="191"/>
      <c r="E195" s="89"/>
      <c r="F195" s="89"/>
      <c r="G195" s="89"/>
    </row>
    <row r="196" ht="20.4" spans="1:7">
      <c r="A196" s="136">
        <v>9</v>
      </c>
      <c r="B196" s="191" t="s">
        <v>188</v>
      </c>
      <c r="C196" s="191"/>
      <c r="D196" s="191"/>
      <c r="E196" s="89"/>
      <c r="F196" s="89"/>
      <c r="G196" s="89"/>
    </row>
    <row r="197" ht="20.4" spans="1:7">
      <c r="A197" s="136">
        <v>10</v>
      </c>
      <c r="B197" s="191" t="s">
        <v>189</v>
      </c>
      <c r="C197" s="191"/>
      <c r="D197" s="191"/>
      <c r="E197" s="89"/>
      <c r="F197" s="89"/>
      <c r="G197" s="89"/>
    </row>
    <row r="198" ht="20.4" spans="1:7">
      <c r="A198" s="136">
        <v>11</v>
      </c>
      <c r="B198" s="191" t="s">
        <v>190</v>
      </c>
      <c r="C198" s="191"/>
      <c r="D198" s="191"/>
      <c r="E198" s="89"/>
      <c r="F198" s="89"/>
      <c r="G198" s="89"/>
    </row>
    <row r="199" ht="20.4" spans="1:7">
      <c r="A199" s="136">
        <v>12</v>
      </c>
      <c r="B199" s="191" t="s">
        <v>191</v>
      </c>
      <c r="C199" s="191"/>
      <c r="D199" s="191"/>
      <c r="E199" s="89"/>
      <c r="F199" s="89"/>
      <c r="G199" s="89"/>
    </row>
    <row r="200" ht="20.4" spans="1:7">
      <c r="A200" s="90" t="s">
        <v>192</v>
      </c>
      <c r="B200" s="73"/>
      <c r="C200" s="91"/>
      <c r="D200" s="91"/>
      <c r="E200" s="91"/>
      <c r="F200" s="91"/>
      <c r="G200" s="91"/>
    </row>
    <row r="201" spans="1:7">
      <c r="A201" s="92" t="s">
        <v>2</v>
      </c>
      <c r="B201" s="93" t="s">
        <v>3</v>
      </c>
      <c r="C201" s="94" t="s">
        <v>15</v>
      </c>
      <c r="D201" s="95" t="s">
        <v>5</v>
      </c>
      <c r="E201" s="96" t="s">
        <v>16</v>
      </c>
      <c r="F201" s="93" t="s">
        <v>7</v>
      </c>
      <c r="G201" s="97" t="s">
        <v>8</v>
      </c>
    </row>
    <row r="202" ht="34" spans="1:7">
      <c r="A202" s="192">
        <v>1</v>
      </c>
      <c r="B202" s="82" t="s">
        <v>193</v>
      </c>
      <c r="C202" s="161" t="s">
        <v>194</v>
      </c>
      <c r="D202" s="235" t="s">
        <v>195</v>
      </c>
      <c r="E202" s="235"/>
      <c r="F202" s="221">
        <v>7</v>
      </c>
      <c r="G202" s="247" t="s">
        <v>19</v>
      </c>
    </row>
    <row r="203" ht="46" spans="1:7">
      <c r="A203" s="174">
        <v>2</v>
      </c>
      <c r="B203" s="188" t="s">
        <v>196</v>
      </c>
      <c r="C203" s="161" t="s">
        <v>136</v>
      </c>
      <c r="D203" s="101" t="s">
        <v>197</v>
      </c>
      <c r="E203" s="101"/>
      <c r="F203" s="221">
        <v>14</v>
      </c>
      <c r="G203" s="88" t="s">
        <v>198</v>
      </c>
    </row>
    <row r="204" ht="51" spans="1:7">
      <c r="A204" s="248">
        <v>3</v>
      </c>
      <c r="B204" s="188" t="s">
        <v>199</v>
      </c>
      <c r="C204" s="161" t="s">
        <v>136</v>
      </c>
      <c r="D204" s="101" t="s">
        <v>200</v>
      </c>
      <c r="E204" s="101"/>
      <c r="F204" s="221">
        <v>7</v>
      </c>
      <c r="G204" s="82" t="s">
        <v>19</v>
      </c>
    </row>
    <row r="205" ht="51" spans="1:7">
      <c r="A205" s="187">
        <v>4</v>
      </c>
      <c r="B205" s="82" t="s">
        <v>201</v>
      </c>
      <c r="C205" s="82" t="s">
        <v>94</v>
      </c>
      <c r="D205" s="161" t="s">
        <v>202</v>
      </c>
      <c r="E205" s="82"/>
      <c r="F205" s="161">
        <v>10</v>
      </c>
      <c r="G205" s="156" t="s">
        <v>60</v>
      </c>
    </row>
    <row r="206" ht="51" spans="1:7">
      <c r="A206" s="249">
        <v>5</v>
      </c>
      <c r="B206" s="250" t="s">
        <v>203</v>
      </c>
      <c r="C206" s="251" t="s">
        <v>94</v>
      </c>
      <c r="D206" s="235">
        <v>3321</v>
      </c>
      <c r="E206" s="235"/>
      <c r="F206" s="252">
        <v>2</v>
      </c>
      <c r="G206" s="253"/>
    </row>
    <row r="207" ht="34" spans="1:7">
      <c r="A207" s="249">
        <v>6</v>
      </c>
      <c r="B207" s="188" t="s">
        <v>204</v>
      </c>
      <c r="C207" s="251" t="s">
        <v>205</v>
      </c>
      <c r="D207" s="89">
        <v>5092</v>
      </c>
      <c r="E207" s="89"/>
      <c r="F207" s="89">
        <v>2</v>
      </c>
      <c r="G207" s="89"/>
    </row>
    <row r="208" ht="51" spans="1:7">
      <c r="A208" s="249">
        <v>7</v>
      </c>
      <c r="B208" s="144" t="s">
        <v>206</v>
      </c>
      <c r="C208" s="235" t="s">
        <v>94</v>
      </c>
      <c r="D208" s="232" t="s">
        <v>202</v>
      </c>
      <c r="E208" s="232"/>
      <c r="F208" s="232">
        <v>10</v>
      </c>
      <c r="G208" s="232" t="s">
        <v>45</v>
      </c>
    </row>
    <row r="209" ht="20.4" spans="1:7">
      <c r="A209" s="90" t="s">
        <v>21</v>
      </c>
      <c r="B209" s="113"/>
      <c r="C209" s="91"/>
      <c r="D209" s="91"/>
      <c r="E209" s="91"/>
      <c r="F209" s="91"/>
      <c r="G209" s="91"/>
    </row>
    <row r="210" spans="1:7">
      <c r="A210" s="92" t="s">
        <v>2</v>
      </c>
      <c r="B210" s="93" t="s">
        <v>3</v>
      </c>
      <c r="C210" s="94" t="s">
        <v>22</v>
      </c>
      <c r="D210" s="95" t="s">
        <v>5</v>
      </c>
      <c r="E210" s="96" t="s">
        <v>16</v>
      </c>
      <c r="F210" s="93" t="s">
        <v>7</v>
      </c>
      <c r="G210" s="174" t="s">
        <v>8</v>
      </c>
    </row>
    <row r="211" ht="18.35" spans="1:7">
      <c r="A211" s="239" t="s">
        <v>207</v>
      </c>
      <c r="B211" s="108"/>
      <c r="C211" s="240"/>
      <c r="D211" s="241"/>
      <c r="E211" s="242"/>
      <c r="F211" s="243"/>
      <c r="G211" s="244"/>
    </row>
    <row r="212" ht="26.75" spans="1:7">
      <c r="A212" s="254"/>
      <c r="B212" s="111"/>
      <c r="C212" s="255"/>
      <c r="D212" s="255"/>
      <c r="E212" s="255"/>
      <c r="F212" s="255"/>
      <c r="G212" s="256"/>
    </row>
    <row r="213" ht="26" spans="1:7">
      <c r="A213" s="223" t="s">
        <v>208</v>
      </c>
      <c r="B213" s="111"/>
      <c r="C213" s="224"/>
      <c r="D213" s="225"/>
      <c r="E213" s="225"/>
      <c r="F213" s="226"/>
      <c r="G213" s="227"/>
    </row>
    <row r="214" ht="20.4" spans="1:7">
      <c r="A214" s="72" t="s">
        <v>1</v>
      </c>
      <c r="B214" s="73"/>
      <c r="C214" s="74"/>
      <c r="D214" s="74"/>
      <c r="E214" s="74"/>
      <c r="F214" s="74"/>
      <c r="G214" s="75"/>
    </row>
    <row r="215" spans="1:7">
      <c r="A215" s="115" t="s">
        <v>2</v>
      </c>
      <c r="B215" s="93" t="s">
        <v>3</v>
      </c>
      <c r="C215" s="135" t="s">
        <v>4</v>
      </c>
      <c r="D215" s="95" t="s">
        <v>5</v>
      </c>
      <c r="E215" s="93" t="s">
        <v>6</v>
      </c>
      <c r="F215" s="93" t="s">
        <v>7</v>
      </c>
      <c r="G215" s="97" t="s">
        <v>8</v>
      </c>
    </row>
    <row r="216" ht="18" spans="1:7">
      <c r="A216" s="136" t="s">
        <v>49</v>
      </c>
      <c r="B216" s="32" t="s">
        <v>209</v>
      </c>
      <c r="C216" s="246" t="s">
        <v>150</v>
      </c>
      <c r="D216" s="191">
        <v>7806</v>
      </c>
      <c r="E216" s="191" t="s">
        <v>210</v>
      </c>
      <c r="F216" s="84"/>
      <c r="G216" s="121"/>
    </row>
    <row r="217" ht="18" spans="1:7">
      <c r="A217" s="136" t="s">
        <v>51</v>
      </c>
      <c r="B217" s="191" t="s">
        <v>211</v>
      </c>
      <c r="C217" s="191"/>
      <c r="D217" s="191">
        <v>5795</v>
      </c>
      <c r="E217" s="191"/>
      <c r="F217" s="84"/>
      <c r="G217" s="121"/>
    </row>
    <row r="218" ht="17.6" spans="1:7">
      <c r="A218" s="257" t="s">
        <v>54</v>
      </c>
      <c r="B218" s="191" t="s">
        <v>212</v>
      </c>
      <c r="C218" s="191"/>
      <c r="D218" s="191"/>
      <c r="E218" s="191"/>
      <c r="F218" s="247"/>
      <c r="G218" s="258"/>
    </row>
    <row r="219" ht="17.6" spans="1:7">
      <c r="A219" s="136" t="s">
        <v>75</v>
      </c>
      <c r="B219" s="191" t="s">
        <v>213</v>
      </c>
      <c r="C219" s="191"/>
      <c r="D219" s="191"/>
      <c r="E219" s="191"/>
      <c r="F219" s="35"/>
      <c r="G219" s="84"/>
    </row>
    <row r="220" ht="17.6" spans="1:7">
      <c r="A220" s="136" t="s">
        <v>77</v>
      </c>
      <c r="B220" s="191" t="s">
        <v>214</v>
      </c>
      <c r="C220" s="191"/>
      <c r="D220" s="191"/>
      <c r="E220" s="191"/>
      <c r="F220" s="99"/>
      <c r="G220" s="259"/>
    </row>
    <row r="221" ht="20.4" spans="1:7">
      <c r="A221" s="136" t="s">
        <v>122</v>
      </c>
      <c r="B221" s="191" t="s">
        <v>215</v>
      </c>
      <c r="C221" s="191"/>
      <c r="D221" s="191"/>
      <c r="E221" s="191"/>
      <c r="F221" s="89"/>
      <c r="G221" s="89"/>
    </row>
    <row r="222" ht="20.4" spans="1:7">
      <c r="A222" s="136" t="s">
        <v>166</v>
      </c>
      <c r="B222" s="191" t="s">
        <v>216</v>
      </c>
      <c r="C222" s="191"/>
      <c r="D222" s="191"/>
      <c r="E222" s="191"/>
      <c r="F222" s="89"/>
      <c r="G222" s="89"/>
    </row>
    <row r="223" ht="20.4" spans="1:7">
      <c r="A223" s="136" t="s">
        <v>217</v>
      </c>
      <c r="B223" s="191" t="s">
        <v>218</v>
      </c>
      <c r="C223" s="191"/>
      <c r="D223" s="191"/>
      <c r="E223" s="191"/>
      <c r="F223" s="89"/>
      <c r="G223" s="89"/>
    </row>
    <row r="224" ht="20.4" spans="1:7">
      <c r="A224" s="72" t="s">
        <v>67</v>
      </c>
      <c r="B224" s="73"/>
      <c r="C224" s="74"/>
      <c r="D224" s="74"/>
      <c r="E224" s="74"/>
      <c r="F224" s="74"/>
      <c r="G224" s="75"/>
    </row>
    <row r="225" spans="1:7">
      <c r="A225" s="92" t="s">
        <v>2</v>
      </c>
      <c r="B225" s="93" t="s">
        <v>3</v>
      </c>
      <c r="C225" s="94" t="s">
        <v>15</v>
      </c>
      <c r="D225" s="95" t="s">
        <v>5</v>
      </c>
      <c r="E225" s="96" t="s">
        <v>16</v>
      </c>
      <c r="F225" s="93" t="s">
        <v>7</v>
      </c>
      <c r="G225" s="97" t="s">
        <v>8</v>
      </c>
    </row>
    <row r="226" ht="34" spans="1:7">
      <c r="A226" s="187">
        <v>5</v>
      </c>
      <c r="B226" s="188" t="s">
        <v>219</v>
      </c>
      <c r="C226" s="187" t="s">
        <v>220</v>
      </c>
      <c r="D226" s="187">
        <v>2525</v>
      </c>
      <c r="E226" s="187"/>
      <c r="F226" s="187">
        <v>10</v>
      </c>
      <c r="G226" s="187" t="s">
        <v>221</v>
      </c>
    </row>
    <row r="227" ht="34" spans="1:7">
      <c r="A227" s="93">
        <v>2</v>
      </c>
      <c r="B227" s="188" t="s">
        <v>222</v>
      </c>
      <c r="C227" s="187" t="s">
        <v>108</v>
      </c>
      <c r="D227" s="187">
        <v>7580</v>
      </c>
      <c r="E227" s="187"/>
      <c r="F227" s="187">
        <v>10</v>
      </c>
      <c r="G227" s="187" t="s">
        <v>221</v>
      </c>
    </row>
    <row r="228" ht="51" spans="1:7">
      <c r="A228" s="93">
        <v>3</v>
      </c>
      <c r="B228" s="234" t="s">
        <v>223</v>
      </c>
      <c r="C228" s="235" t="s">
        <v>94</v>
      </c>
      <c r="D228" s="232" t="s">
        <v>224</v>
      </c>
      <c r="E228" s="232"/>
      <c r="F228" s="232">
        <v>7</v>
      </c>
      <c r="G228" s="232" t="s">
        <v>19</v>
      </c>
    </row>
    <row r="229" ht="101" spans="1:7">
      <c r="A229" s="87">
        <v>4</v>
      </c>
      <c r="B229" s="188" t="s">
        <v>225</v>
      </c>
      <c r="C229" s="235" t="s">
        <v>94</v>
      </c>
      <c r="D229" s="187" t="s">
        <v>226</v>
      </c>
      <c r="E229" s="89"/>
      <c r="F229" s="187">
        <v>20</v>
      </c>
      <c r="G229" s="187" t="s">
        <v>227</v>
      </c>
    </row>
    <row r="230" ht="51" spans="1:7">
      <c r="A230" s="87">
        <v>5</v>
      </c>
      <c r="B230" s="188" t="s">
        <v>228</v>
      </c>
      <c r="C230" s="235" t="s">
        <v>94</v>
      </c>
      <c r="D230" s="103" t="s">
        <v>229</v>
      </c>
      <c r="E230" s="103"/>
      <c r="F230" s="103">
        <v>7</v>
      </c>
      <c r="G230" s="187" t="s">
        <v>19</v>
      </c>
    </row>
    <row r="231" ht="51" spans="1:7">
      <c r="A231" s="87">
        <v>6</v>
      </c>
      <c r="B231" s="188" t="s">
        <v>230</v>
      </c>
      <c r="C231" s="103" t="s">
        <v>205</v>
      </c>
      <c r="D231" s="103">
        <v>2785</v>
      </c>
      <c r="E231" s="103"/>
      <c r="F231" s="103">
        <v>2</v>
      </c>
      <c r="G231" s="187"/>
    </row>
    <row r="232" ht="51" spans="1:7">
      <c r="A232" s="87">
        <v>7</v>
      </c>
      <c r="B232" s="82" t="s">
        <v>231</v>
      </c>
      <c r="C232" s="83" t="s">
        <v>232</v>
      </c>
      <c r="D232" s="82">
        <v>2161</v>
      </c>
      <c r="E232" s="82"/>
      <c r="F232" s="260">
        <v>10</v>
      </c>
      <c r="G232" s="87" t="s">
        <v>173</v>
      </c>
    </row>
    <row r="233" ht="51" spans="1:7">
      <c r="A233" s="87">
        <v>8</v>
      </c>
      <c r="B233" s="182" t="s">
        <v>233</v>
      </c>
      <c r="C233" s="87" t="s">
        <v>83</v>
      </c>
      <c r="D233" s="87">
        <v>4516</v>
      </c>
      <c r="E233" s="87"/>
      <c r="F233" s="87">
        <v>2</v>
      </c>
      <c r="G233" s="87"/>
    </row>
    <row r="234" ht="17" spans="1:7">
      <c r="A234" s="87">
        <v>9</v>
      </c>
      <c r="B234" s="182" t="s">
        <v>234</v>
      </c>
      <c r="C234" s="87" t="s">
        <v>235</v>
      </c>
      <c r="D234" s="87"/>
      <c r="E234" s="87"/>
      <c r="F234" s="87">
        <v>2</v>
      </c>
      <c r="G234" s="87"/>
    </row>
    <row r="235" ht="51" spans="1:7">
      <c r="A235" s="87">
        <v>10</v>
      </c>
      <c r="B235" s="87" t="s">
        <v>236</v>
      </c>
      <c r="C235" s="87" t="s">
        <v>235</v>
      </c>
      <c r="D235" s="87" t="s">
        <v>172</v>
      </c>
      <c r="E235" s="87"/>
      <c r="F235" s="87">
        <v>2</v>
      </c>
      <c r="G235" s="87"/>
    </row>
    <row r="236" ht="51" spans="1:7">
      <c r="A236" s="87">
        <v>11</v>
      </c>
      <c r="B236" s="182" t="s">
        <v>237</v>
      </c>
      <c r="C236" s="87" t="s">
        <v>83</v>
      </c>
      <c r="D236" s="87">
        <v>4526</v>
      </c>
      <c r="E236" s="87"/>
      <c r="F236" s="87">
        <v>2</v>
      </c>
      <c r="G236" s="87"/>
    </row>
    <row r="237" ht="34" spans="1:7">
      <c r="A237" s="87">
        <v>12</v>
      </c>
      <c r="B237" s="182" t="s">
        <v>238</v>
      </c>
      <c r="C237" s="87" t="s">
        <v>94</v>
      </c>
      <c r="D237" s="87" t="s">
        <v>239</v>
      </c>
      <c r="E237" s="87"/>
      <c r="F237" s="87">
        <v>2</v>
      </c>
      <c r="G237" s="87"/>
    </row>
    <row r="238" ht="34" spans="1:7">
      <c r="A238" s="87">
        <v>13</v>
      </c>
      <c r="B238" s="182" t="s">
        <v>240</v>
      </c>
      <c r="C238" s="87" t="s">
        <v>83</v>
      </c>
      <c r="D238" s="87">
        <v>8837</v>
      </c>
      <c r="E238" s="87"/>
      <c r="F238" s="87">
        <v>2</v>
      </c>
      <c r="G238" s="87"/>
    </row>
    <row r="239" ht="68" spans="1:7">
      <c r="A239" s="87">
        <v>14</v>
      </c>
      <c r="B239" s="182" t="s">
        <v>241</v>
      </c>
      <c r="C239" s="87" t="s">
        <v>242</v>
      </c>
      <c r="D239" s="87">
        <v>6311</v>
      </c>
      <c r="E239" s="87"/>
      <c r="F239" s="87">
        <v>14</v>
      </c>
      <c r="G239" s="187" t="s">
        <v>243</v>
      </c>
    </row>
    <row r="240" ht="51" spans="1:7">
      <c r="A240" s="87">
        <v>15</v>
      </c>
      <c r="B240" s="87" t="s">
        <v>244</v>
      </c>
      <c r="C240" s="87" t="s">
        <v>94</v>
      </c>
      <c r="D240" s="87" t="s">
        <v>245</v>
      </c>
      <c r="E240" s="87"/>
      <c r="F240" s="87">
        <v>2</v>
      </c>
      <c r="G240" s="87"/>
    </row>
    <row r="241" ht="34" spans="1:7">
      <c r="A241" s="87">
        <v>16</v>
      </c>
      <c r="B241" s="182" t="s">
        <v>246</v>
      </c>
      <c r="C241" s="87" t="s">
        <v>205</v>
      </c>
      <c r="D241" s="87">
        <v>1695</v>
      </c>
      <c r="E241" s="87"/>
      <c r="F241" s="87">
        <v>2</v>
      </c>
      <c r="G241" s="87"/>
    </row>
    <row r="242" ht="34" spans="1:7">
      <c r="A242" s="87">
        <v>17</v>
      </c>
      <c r="B242" s="188" t="s">
        <v>247</v>
      </c>
      <c r="C242" s="187" t="s">
        <v>108</v>
      </c>
      <c r="D242" s="187">
        <v>1662</v>
      </c>
      <c r="E242" s="187"/>
      <c r="F242" s="187">
        <v>2</v>
      </c>
      <c r="G242" s="89"/>
    </row>
    <row r="243" ht="20.4" spans="1:7">
      <c r="A243" s="72" t="s">
        <v>21</v>
      </c>
      <c r="B243" s="73"/>
      <c r="C243" s="74"/>
      <c r="D243" s="74"/>
      <c r="E243" s="74"/>
      <c r="F243" s="74"/>
      <c r="G243" s="75"/>
    </row>
    <row r="244" spans="1:7">
      <c r="A244" s="92" t="s">
        <v>2</v>
      </c>
      <c r="B244" s="93" t="s">
        <v>3</v>
      </c>
      <c r="C244" s="94" t="s">
        <v>22</v>
      </c>
      <c r="D244" s="95" t="s">
        <v>5</v>
      </c>
      <c r="E244" s="96" t="s">
        <v>16</v>
      </c>
      <c r="F244" s="93" t="s">
        <v>7</v>
      </c>
      <c r="G244" s="97" t="s">
        <v>8</v>
      </c>
    </row>
    <row r="245" ht="17.6" spans="1:7">
      <c r="A245" s="108" t="s">
        <v>248</v>
      </c>
      <c r="B245" s="108"/>
      <c r="C245" s="108"/>
      <c r="D245" s="56"/>
      <c r="E245" s="108"/>
      <c r="F245" s="108"/>
      <c r="G245" s="108"/>
    </row>
    <row r="246" spans="1:7">
      <c r="A246" s="110"/>
      <c r="B246" s="110"/>
      <c r="C246" s="110"/>
      <c r="D246" s="110"/>
      <c r="E246" s="110"/>
      <c r="F246" s="110"/>
      <c r="G246" s="110"/>
    </row>
    <row r="247" ht="26" spans="1:7">
      <c r="A247" s="147" t="s">
        <v>249</v>
      </c>
      <c r="B247" s="147"/>
      <c r="C247" s="147"/>
      <c r="D247" s="147"/>
      <c r="E247" s="147"/>
      <c r="F247" s="147"/>
      <c r="G247" s="148"/>
    </row>
    <row r="248" ht="20.4" spans="1:7">
      <c r="A248" s="90" t="s">
        <v>1</v>
      </c>
      <c r="B248" s="113"/>
      <c r="C248" s="91"/>
      <c r="D248" s="91"/>
      <c r="E248" s="91"/>
      <c r="F248" s="91"/>
      <c r="G248" s="114"/>
    </row>
    <row r="249" spans="1:7">
      <c r="A249" s="115" t="s">
        <v>2</v>
      </c>
      <c r="B249" s="93" t="s">
        <v>3</v>
      </c>
      <c r="C249" s="135" t="s">
        <v>4</v>
      </c>
      <c r="D249" s="95" t="s">
        <v>5</v>
      </c>
      <c r="E249" s="93" t="s">
        <v>6</v>
      </c>
      <c r="F249" s="93" t="s">
        <v>7</v>
      </c>
      <c r="G249" s="97" t="s">
        <v>8</v>
      </c>
    </row>
    <row r="250" ht="17.6" spans="1:7">
      <c r="A250" s="122">
        <v>1</v>
      </c>
      <c r="B250" s="191" t="s">
        <v>250</v>
      </c>
      <c r="C250" s="191"/>
      <c r="D250" s="191">
        <v>9197</v>
      </c>
      <c r="E250" s="188"/>
      <c r="F250" s="188"/>
      <c r="G250" s="188"/>
    </row>
    <row r="251" ht="17.6" spans="1:7">
      <c r="A251" s="87">
        <v>2</v>
      </c>
      <c r="B251" s="191" t="s">
        <v>251</v>
      </c>
      <c r="C251" s="191"/>
      <c r="D251" s="191">
        <v>7128</v>
      </c>
      <c r="E251" s="188"/>
      <c r="F251" s="188"/>
      <c r="G251" s="188"/>
    </row>
    <row r="252" ht="18" spans="1:7">
      <c r="A252" s="87">
        <v>3</v>
      </c>
      <c r="B252" s="32" t="s">
        <v>252</v>
      </c>
      <c r="C252" s="191"/>
      <c r="D252" s="191">
        <v>6590</v>
      </c>
      <c r="E252" s="188"/>
      <c r="F252" s="188"/>
      <c r="G252" s="188"/>
    </row>
    <row r="253" ht="18" spans="1:7">
      <c r="A253" s="87">
        <v>4</v>
      </c>
      <c r="B253" s="219" t="s">
        <v>253</v>
      </c>
      <c r="C253" s="191"/>
      <c r="D253" s="191"/>
      <c r="E253" s="188"/>
      <c r="F253" s="188"/>
      <c r="G253" s="188"/>
    </row>
    <row r="254" ht="20.4" spans="1:7">
      <c r="A254" s="87">
        <v>5</v>
      </c>
      <c r="B254" s="219" t="s">
        <v>254</v>
      </c>
      <c r="C254" s="191"/>
      <c r="D254" s="191"/>
      <c r="E254" s="89"/>
      <c r="F254" s="89"/>
      <c r="G254" s="89"/>
    </row>
    <row r="255" ht="20.4" spans="1:7">
      <c r="A255" s="87">
        <v>6</v>
      </c>
      <c r="B255" s="219" t="s">
        <v>255</v>
      </c>
      <c r="C255" s="191"/>
      <c r="D255" s="191"/>
      <c r="E255" s="89"/>
      <c r="F255" s="89"/>
      <c r="G255" s="89"/>
    </row>
    <row r="256" ht="20.4" spans="1:7">
      <c r="A256" s="87">
        <v>7</v>
      </c>
      <c r="B256" s="219" t="s">
        <v>256</v>
      </c>
      <c r="C256" s="191"/>
      <c r="D256" s="191"/>
      <c r="E256" s="89"/>
      <c r="F256" s="89"/>
      <c r="G256" s="89"/>
    </row>
    <row r="257" ht="36" spans="1:7">
      <c r="A257" s="87">
        <v>8</v>
      </c>
      <c r="B257" s="219" t="s">
        <v>257</v>
      </c>
      <c r="C257" s="191"/>
      <c r="D257" s="191"/>
      <c r="E257" s="89"/>
      <c r="F257" s="89"/>
      <c r="G257" s="89"/>
    </row>
    <row r="258" ht="36" spans="1:7">
      <c r="A258" s="87">
        <v>9</v>
      </c>
      <c r="B258" s="219" t="s">
        <v>258</v>
      </c>
      <c r="C258" s="191"/>
      <c r="D258" s="191"/>
      <c r="E258" s="89"/>
      <c r="F258" s="89"/>
      <c r="G258" s="89"/>
    </row>
    <row r="259" ht="20.4" spans="1:7">
      <c r="A259" s="87">
        <v>10</v>
      </c>
      <c r="B259" s="219" t="s">
        <v>259</v>
      </c>
      <c r="C259" s="191"/>
      <c r="D259" s="191"/>
      <c r="E259" s="89"/>
      <c r="F259" s="89"/>
      <c r="G259" s="89"/>
    </row>
    <row r="260" ht="20.4" spans="1:7">
      <c r="A260" s="87">
        <v>11</v>
      </c>
      <c r="B260" s="219" t="s">
        <v>260</v>
      </c>
      <c r="C260" s="191"/>
      <c r="D260" s="191"/>
      <c r="E260" s="89"/>
      <c r="F260" s="89"/>
      <c r="G260" s="89"/>
    </row>
    <row r="261" ht="20.4" spans="1:7">
      <c r="A261" s="87">
        <v>12</v>
      </c>
      <c r="B261" s="219" t="s">
        <v>261</v>
      </c>
      <c r="C261" s="191"/>
      <c r="D261" s="191"/>
      <c r="E261" s="89"/>
      <c r="F261" s="89"/>
      <c r="G261" s="89"/>
    </row>
    <row r="262" ht="20.4" spans="1:7">
      <c r="A262" s="89"/>
      <c r="B262" s="89"/>
      <c r="C262" s="89"/>
      <c r="D262" s="89"/>
      <c r="E262" s="89"/>
      <c r="F262" s="89"/>
      <c r="G262" s="89"/>
    </row>
    <row r="263" ht="20.4" spans="1:7">
      <c r="A263" s="72" t="s">
        <v>67</v>
      </c>
      <c r="B263" s="73"/>
      <c r="C263" s="74"/>
      <c r="D263" s="74"/>
      <c r="E263" s="74"/>
      <c r="F263" s="74"/>
      <c r="G263" s="75"/>
    </row>
    <row r="264" spans="1:7">
      <c r="A264" s="261" t="s">
        <v>2</v>
      </c>
      <c r="B264" s="262" t="s">
        <v>3</v>
      </c>
      <c r="C264" s="263" t="s">
        <v>15</v>
      </c>
      <c r="D264" s="264" t="s">
        <v>5</v>
      </c>
      <c r="E264" s="265" t="s">
        <v>16</v>
      </c>
      <c r="F264" s="262" t="s">
        <v>7</v>
      </c>
      <c r="G264" s="266" t="s">
        <v>8</v>
      </c>
    </row>
    <row r="265" ht="82" spans="1:7">
      <c r="A265" s="93">
        <v>1</v>
      </c>
      <c r="B265" s="188" t="s">
        <v>262</v>
      </c>
      <c r="C265" s="267" t="s">
        <v>263</v>
      </c>
      <c r="D265" s="267" t="s">
        <v>264</v>
      </c>
      <c r="E265" s="267"/>
      <c r="F265" s="267">
        <v>12</v>
      </c>
      <c r="G265" s="89" t="s">
        <v>243</v>
      </c>
    </row>
    <row r="266" ht="53" spans="1:7">
      <c r="A266" s="93">
        <v>2</v>
      </c>
      <c r="B266" s="268" t="s">
        <v>265</v>
      </c>
      <c r="C266" s="109" t="s">
        <v>94</v>
      </c>
      <c r="D266" s="238" t="s">
        <v>266</v>
      </c>
      <c r="E266" s="237"/>
      <c r="F266" s="106">
        <v>14</v>
      </c>
      <c r="G266" s="93" t="s">
        <v>267</v>
      </c>
    </row>
    <row r="267" ht="51" spans="1:7">
      <c r="A267" s="93">
        <v>3</v>
      </c>
      <c r="B267" s="268" t="s">
        <v>268</v>
      </c>
      <c r="C267" s="269" t="s">
        <v>269</v>
      </c>
      <c r="D267" s="238" t="s">
        <v>270</v>
      </c>
      <c r="E267" s="237"/>
      <c r="F267" s="106">
        <v>7</v>
      </c>
      <c r="G267" s="187" t="s">
        <v>19</v>
      </c>
    </row>
    <row r="268" ht="51" spans="1:7">
      <c r="A268" s="93">
        <v>4</v>
      </c>
      <c r="B268" s="182" t="s">
        <v>271</v>
      </c>
      <c r="C268" s="270" t="s">
        <v>83</v>
      </c>
      <c r="D268" s="187" t="s">
        <v>200</v>
      </c>
      <c r="E268" s="89"/>
      <c r="F268" s="187">
        <v>7</v>
      </c>
      <c r="G268" s="187" t="s">
        <v>19</v>
      </c>
    </row>
    <row r="269" ht="51" spans="1:7">
      <c r="A269" s="93">
        <v>5</v>
      </c>
      <c r="B269" s="82" t="s">
        <v>272</v>
      </c>
      <c r="C269" s="269" t="s">
        <v>136</v>
      </c>
      <c r="D269" s="187">
        <v>3070</v>
      </c>
      <c r="E269" s="187"/>
      <c r="F269" s="187">
        <v>2</v>
      </c>
      <c r="G269" s="187"/>
    </row>
    <row r="270" ht="20.4" spans="1:7">
      <c r="A270" s="90" t="s">
        <v>21</v>
      </c>
      <c r="B270" s="113"/>
      <c r="C270" s="91"/>
      <c r="D270" s="91"/>
      <c r="E270" s="91"/>
      <c r="F270" s="91"/>
      <c r="G270" s="114"/>
    </row>
    <row r="271" spans="1:7">
      <c r="A271" s="92" t="s">
        <v>2</v>
      </c>
      <c r="B271" s="93" t="s">
        <v>3</v>
      </c>
      <c r="C271" s="94" t="s">
        <v>22</v>
      </c>
      <c r="D271" s="95" t="s">
        <v>5</v>
      </c>
      <c r="E271" s="96" t="s">
        <v>16</v>
      </c>
      <c r="F271" s="93" t="s">
        <v>7</v>
      </c>
      <c r="G271" s="97" t="s">
        <v>8</v>
      </c>
    </row>
    <row r="272" ht="17.6" spans="1:7">
      <c r="A272" s="236" t="s">
        <v>273</v>
      </c>
      <c r="B272" s="268"/>
      <c r="C272" s="105"/>
      <c r="D272" s="238"/>
      <c r="E272" s="268"/>
      <c r="F272" s="237"/>
      <c r="G272" s="107"/>
    </row>
    <row r="273" spans="1:7">
      <c r="A273" s="82"/>
      <c r="B273" s="82"/>
      <c r="C273" s="82"/>
      <c r="D273" s="82"/>
      <c r="E273" s="82"/>
      <c r="F273" s="82"/>
      <c r="G273" s="82"/>
    </row>
    <row r="274" spans="1:7">
      <c r="A274" s="82"/>
      <c r="B274" s="82"/>
      <c r="C274" s="82"/>
      <c r="D274" s="82"/>
      <c r="E274" s="82"/>
      <c r="F274" s="82"/>
      <c r="G274" s="82"/>
    </row>
    <row r="275" ht="26" spans="1:7">
      <c r="A275" s="271" t="s">
        <v>274</v>
      </c>
      <c r="B275" s="272"/>
      <c r="C275" s="273"/>
      <c r="D275" s="272"/>
      <c r="E275" s="272"/>
      <c r="F275" s="274"/>
      <c r="G275" s="275"/>
    </row>
    <row r="276" ht="20.4" spans="1:7">
      <c r="A276" s="72" t="s">
        <v>159</v>
      </c>
      <c r="B276" s="73"/>
      <c r="C276" s="74"/>
      <c r="D276" s="74"/>
      <c r="E276" s="74"/>
      <c r="F276" s="74"/>
      <c r="G276" s="75"/>
    </row>
    <row r="277" spans="1:7">
      <c r="A277" s="115" t="s">
        <v>2</v>
      </c>
      <c r="B277" s="93" t="s">
        <v>3</v>
      </c>
      <c r="C277" s="135" t="s">
        <v>4</v>
      </c>
      <c r="D277" s="95" t="s">
        <v>5</v>
      </c>
      <c r="E277" s="93" t="s">
        <v>6</v>
      </c>
      <c r="F277" s="93" t="s">
        <v>7</v>
      </c>
      <c r="G277" s="97" t="s">
        <v>8</v>
      </c>
    </row>
    <row r="278" ht="18" spans="1:7">
      <c r="A278" s="174">
        <v>1</v>
      </c>
      <c r="B278" s="219" t="s">
        <v>275</v>
      </c>
      <c r="C278" s="191"/>
      <c r="D278" s="191"/>
      <c r="E278" s="276"/>
      <c r="F278" s="84"/>
      <c r="G278" s="121"/>
    </row>
    <row r="279" ht="18" spans="1:7">
      <c r="A279" s="93">
        <v>2</v>
      </c>
      <c r="B279" s="219" t="s">
        <v>276</v>
      </c>
      <c r="C279" s="191"/>
      <c r="D279" s="191"/>
      <c r="E279" s="276"/>
      <c r="F279" s="84"/>
      <c r="G279" s="84"/>
    </row>
    <row r="280" ht="36" spans="1:7">
      <c r="A280" s="87">
        <v>3</v>
      </c>
      <c r="B280" s="219" t="s">
        <v>277</v>
      </c>
      <c r="C280" s="191"/>
      <c r="D280" s="191"/>
      <c r="E280" s="155"/>
      <c r="F280" s="88"/>
      <c r="G280" s="88"/>
    </row>
    <row r="281" ht="36" spans="1:7">
      <c r="A281" s="87">
        <v>4</v>
      </c>
      <c r="B281" s="219" t="s">
        <v>278</v>
      </c>
      <c r="C281" s="191"/>
      <c r="D281" s="191"/>
      <c r="E281" s="231"/>
      <c r="F281" s="172"/>
      <c r="G281" s="277"/>
    </row>
    <row r="282" ht="20.4" spans="1:7">
      <c r="A282" s="87">
        <v>5</v>
      </c>
      <c r="B282" s="219" t="s">
        <v>279</v>
      </c>
      <c r="C282" s="191"/>
      <c r="D282" s="191"/>
      <c r="E282" s="89"/>
      <c r="F282" s="89"/>
      <c r="G282" s="89"/>
    </row>
    <row r="283" ht="20.4" spans="1:7">
      <c r="A283" s="87">
        <v>6</v>
      </c>
      <c r="B283" s="219" t="s">
        <v>280</v>
      </c>
      <c r="C283" s="191"/>
      <c r="D283" s="191"/>
      <c r="E283" s="89"/>
      <c r="F283" s="89"/>
      <c r="G283" s="89"/>
    </row>
    <row r="284" ht="20.4" spans="1:7">
      <c r="A284" s="87">
        <v>7</v>
      </c>
      <c r="B284" s="219" t="s">
        <v>281</v>
      </c>
      <c r="C284" s="191"/>
      <c r="D284" s="191"/>
      <c r="E284" s="89"/>
      <c r="F284" s="89"/>
      <c r="G284" s="89"/>
    </row>
    <row r="285" ht="36" spans="1:7">
      <c r="A285" s="87">
        <v>8</v>
      </c>
      <c r="B285" s="219" t="s">
        <v>282</v>
      </c>
      <c r="C285" s="191"/>
      <c r="D285" s="191"/>
      <c r="E285" s="89"/>
      <c r="F285" s="89"/>
      <c r="G285" s="89"/>
    </row>
    <row r="286" ht="20.4" spans="1:7">
      <c r="A286" s="87">
        <v>9</v>
      </c>
      <c r="B286" s="219" t="s">
        <v>283</v>
      </c>
      <c r="C286" s="191"/>
      <c r="D286" s="191"/>
      <c r="E286" s="89"/>
      <c r="F286" s="89"/>
      <c r="G286" s="89"/>
    </row>
    <row r="287" ht="20.4" spans="1:7">
      <c r="A287" s="90" t="s">
        <v>284</v>
      </c>
      <c r="B287" s="113"/>
      <c r="C287" s="91"/>
      <c r="D287" s="91"/>
      <c r="E287" s="91"/>
      <c r="F287" s="91"/>
      <c r="G287" s="114"/>
    </row>
    <row r="288" spans="1:7">
      <c r="A288" s="92" t="s">
        <v>2</v>
      </c>
      <c r="B288" s="93" t="s">
        <v>3</v>
      </c>
      <c r="C288" s="94" t="s">
        <v>15</v>
      </c>
      <c r="D288" s="95" t="s">
        <v>5</v>
      </c>
      <c r="E288" s="96" t="s">
        <v>16</v>
      </c>
      <c r="F288" s="93" t="s">
        <v>7</v>
      </c>
      <c r="G288" s="97" t="s">
        <v>8</v>
      </c>
    </row>
    <row r="289" ht="47" spans="1:7">
      <c r="A289" s="98">
        <v>1</v>
      </c>
      <c r="B289" s="206" t="s">
        <v>285</v>
      </c>
      <c r="C289" s="187" t="s">
        <v>286</v>
      </c>
      <c r="D289" s="187">
        <v>2221</v>
      </c>
      <c r="E289" s="187"/>
      <c r="F289" s="187">
        <v>2</v>
      </c>
      <c r="G289" s="88"/>
    </row>
    <row r="290" ht="34" spans="1:7">
      <c r="A290" s="98">
        <v>2</v>
      </c>
      <c r="B290" s="86" t="s">
        <v>287</v>
      </c>
      <c r="C290" s="187" t="s">
        <v>286</v>
      </c>
      <c r="D290" s="187">
        <v>1249</v>
      </c>
      <c r="E290" s="187"/>
      <c r="F290" s="187">
        <v>2</v>
      </c>
      <c r="G290" s="187"/>
    </row>
    <row r="291" ht="51" spans="1:7">
      <c r="A291" s="98">
        <v>3</v>
      </c>
      <c r="B291" s="278" t="s">
        <v>288</v>
      </c>
      <c r="C291" s="187" t="s">
        <v>286</v>
      </c>
      <c r="D291" s="187">
        <v>2071</v>
      </c>
      <c r="E291" s="187"/>
      <c r="F291" s="187">
        <v>2</v>
      </c>
      <c r="G291" s="89"/>
    </row>
    <row r="292" ht="34" spans="1:7">
      <c r="A292" s="89">
        <v>4</v>
      </c>
      <c r="B292" s="188" t="s">
        <v>289</v>
      </c>
      <c r="C292" s="249" t="s">
        <v>269</v>
      </c>
      <c r="D292" s="43">
        <v>2663</v>
      </c>
      <c r="E292" s="249"/>
      <c r="F292" s="249">
        <v>2</v>
      </c>
      <c r="G292" s="249"/>
    </row>
    <row r="293" ht="34" spans="1:7">
      <c r="A293" s="89">
        <v>5</v>
      </c>
      <c r="B293" s="188" t="s">
        <v>290</v>
      </c>
      <c r="C293" s="187" t="s">
        <v>205</v>
      </c>
      <c r="D293" s="187">
        <v>1104</v>
      </c>
      <c r="E293" s="187"/>
      <c r="F293" s="187">
        <v>2</v>
      </c>
      <c r="G293" s="89"/>
    </row>
    <row r="294" ht="34" spans="1:7">
      <c r="A294" s="89">
        <v>6</v>
      </c>
      <c r="B294" s="188" t="s">
        <v>291</v>
      </c>
      <c r="C294" s="187" t="s">
        <v>205</v>
      </c>
      <c r="D294" s="187">
        <v>5068</v>
      </c>
      <c r="E294" s="187"/>
      <c r="F294" s="187">
        <v>2</v>
      </c>
      <c r="G294" s="89"/>
    </row>
    <row r="295" ht="34" spans="1:7">
      <c r="A295" s="89">
        <v>7</v>
      </c>
      <c r="B295" s="188" t="s">
        <v>277</v>
      </c>
      <c r="C295" s="89"/>
      <c r="D295" s="187"/>
      <c r="E295" s="187"/>
      <c r="F295" s="187"/>
      <c r="G295" s="187"/>
    </row>
    <row r="296" ht="20.4" spans="1:7">
      <c r="A296" s="90" t="s">
        <v>21</v>
      </c>
      <c r="B296" s="113"/>
      <c r="C296" s="91"/>
      <c r="D296" s="91"/>
      <c r="E296" s="91"/>
      <c r="F296" s="91"/>
      <c r="G296" s="114"/>
    </row>
    <row r="297" spans="1:7">
      <c r="A297" s="92" t="s">
        <v>2</v>
      </c>
      <c r="B297" s="93" t="s">
        <v>3</v>
      </c>
      <c r="C297" s="94" t="s">
        <v>22</v>
      </c>
      <c r="D297" s="95" t="s">
        <v>5</v>
      </c>
      <c r="E297" s="96" t="s">
        <v>16</v>
      </c>
      <c r="F297" s="93" t="s">
        <v>7</v>
      </c>
      <c r="G297" s="97" t="s">
        <v>8</v>
      </c>
    </row>
    <row r="298" ht="51" spans="1:7">
      <c r="A298" s="56">
        <v>1</v>
      </c>
      <c r="B298" s="187" t="s">
        <v>292</v>
      </c>
      <c r="C298" s="105" t="s">
        <v>293</v>
      </c>
      <c r="D298" s="238">
        <v>2445</v>
      </c>
      <c r="E298" s="237"/>
      <c r="F298" s="106">
        <v>8</v>
      </c>
      <c r="G298" s="107"/>
    </row>
    <row r="299" ht="53" spans="1:7">
      <c r="A299" s="56">
        <v>2</v>
      </c>
      <c r="B299" s="268" t="s">
        <v>294</v>
      </c>
      <c r="C299" s="105" t="s">
        <v>205</v>
      </c>
      <c r="D299" s="238" t="s">
        <v>143</v>
      </c>
      <c r="E299" s="237"/>
      <c r="F299" s="106">
        <v>8</v>
      </c>
      <c r="G299" s="107"/>
    </row>
    <row r="300" ht="53" spans="1:7">
      <c r="A300" s="56">
        <v>3</v>
      </c>
      <c r="B300" s="268" t="s">
        <v>295</v>
      </c>
      <c r="C300" s="105" t="s">
        <v>296</v>
      </c>
      <c r="D300" s="238">
        <v>4366</v>
      </c>
      <c r="E300" s="237"/>
      <c r="F300" s="106">
        <v>40</v>
      </c>
      <c r="G300" s="108" t="s">
        <v>297</v>
      </c>
    </row>
    <row r="301" ht="51" spans="1:7">
      <c r="A301" s="56">
        <v>4</v>
      </c>
      <c r="B301" s="108" t="s">
        <v>298</v>
      </c>
      <c r="C301" s="108" t="s">
        <v>136</v>
      </c>
      <c r="D301" s="56" t="s">
        <v>229</v>
      </c>
      <c r="E301" s="108"/>
      <c r="F301" s="56">
        <v>13</v>
      </c>
      <c r="G301" s="82" t="s">
        <v>19</v>
      </c>
    </row>
    <row r="302" ht="17.6" spans="1:7">
      <c r="A302" s="108" t="s">
        <v>299</v>
      </c>
      <c r="B302" s="108"/>
      <c r="C302" s="108"/>
      <c r="D302" s="56"/>
      <c r="E302" s="108"/>
      <c r="F302" s="108"/>
      <c r="G302" s="108"/>
    </row>
    <row r="303" spans="1:7">
      <c r="A303" s="110"/>
      <c r="B303" s="110"/>
      <c r="C303" s="110"/>
      <c r="D303" s="110"/>
      <c r="E303" s="83"/>
      <c r="F303" s="83"/>
      <c r="G303" s="83"/>
    </row>
    <row r="304" spans="1:7">
      <c r="A304" s="110"/>
      <c r="B304" s="110"/>
      <c r="C304" s="110"/>
      <c r="D304" s="110"/>
      <c r="E304" s="83"/>
      <c r="F304" s="83"/>
      <c r="G304" s="83"/>
    </row>
    <row r="305" spans="1:7">
      <c r="A305" s="110"/>
      <c r="B305" s="110"/>
      <c r="C305" s="110"/>
      <c r="D305" s="110"/>
      <c r="E305" s="83"/>
      <c r="F305" s="83"/>
      <c r="G305" s="83"/>
    </row>
    <row r="306" ht="26" spans="1:7">
      <c r="A306" s="147" t="s">
        <v>300</v>
      </c>
      <c r="B306" s="147"/>
      <c r="C306" s="147"/>
      <c r="D306" s="147"/>
      <c r="E306" s="147"/>
      <c r="F306" s="147"/>
      <c r="G306" s="148"/>
    </row>
    <row r="307" ht="20.4" spans="1:7">
      <c r="A307" s="72" t="s">
        <v>301</v>
      </c>
      <c r="B307" s="73"/>
      <c r="C307" s="74"/>
      <c r="D307" s="74"/>
      <c r="E307" s="74"/>
      <c r="F307" s="74"/>
      <c r="G307" s="75"/>
    </row>
    <row r="308" spans="1:7">
      <c r="A308" s="115" t="s">
        <v>2</v>
      </c>
      <c r="B308" s="93" t="s">
        <v>3</v>
      </c>
      <c r="C308" s="135" t="s">
        <v>4</v>
      </c>
      <c r="D308" s="95" t="s">
        <v>5</v>
      </c>
      <c r="E308" s="93" t="s">
        <v>6</v>
      </c>
      <c r="F308" s="93" t="s">
        <v>7</v>
      </c>
      <c r="G308" s="97" t="s">
        <v>8</v>
      </c>
    </row>
    <row r="309" ht="17.6" spans="1:7">
      <c r="A309" s="122">
        <v>1</v>
      </c>
      <c r="B309" s="191" t="s">
        <v>302</v>
      </c>
      <c r="C309" s="191"/>
      <c r="D309" s="191"/>
      <c r="E309" s="151"/>
      <c r="F309" s="229"/>
      <c r="G309" s="121"/>
    </row>
    <row r="310" ht="17.6" spans="1:7">
      <c r="A310" s="122">
        <v>2</v>
      </c>
      <c r="B310" s="191" t="s">
        <v>303</v>
      </c>
      <c r="C310" s="191"/>
      <c r="D310" s="191"/>
      <c r="E310" s="151"/>
      <c r="F310" s="229"/>
      <c r="G310" s="121"/>
    </row>
    <row r="311" ht="17.6" spans="1:7">
      <c r="A311" s="122">
        <v>3</v>
      </c>
      <c r="B311" s="191" t="s">
        <v>304</v>
      </c>
      <c r="C311" s="191"/>
      <c r="D311" s="191"/>
      <c r="E311" s="155"/>
      <c r="F311" s="101"/>
      <c r="G311" s="124"/>
    </row>
    <row r="312" ht="17.6" spans="1:7">
      <c r="A312" s="122">
        <v>4</v>
      </c>
      <c r="B312" s="191" t="s">
        <v>305</v>
      </c>
      <c r="C312" s="191"/>
      <c r="D312" s="191"/>
      <c r="E312" s="231"/>
      <c r="F312" s="231"/>
      <c r="G312" s="279"/>
    </row>
    <row r="313" ht="20.4" spans="1:7">
      <c r="A313" s="72" t="s">
        <v>306</v>
      </c>
      <c r="B313" s="73"/>
      <c r="C313" s="74"/>
      <c r="D313" s="74"/>
      <c r="E313" s="74"/>
      <c r="F313" s="74"/>
      <c r="G313" s="75"/>
    </row>
    <row r="314" spans="1:7">
      <c r="A314" s="92" t="s">
        <v>2</v>
      </c>
      <c r="B314" s="93" t="s">
        <v>3</v>
      </c>
      <c r="C314" s="94" t="s">
        <v>15</v>
      </c>
      <c r="D314" s="95" t="s">
        <v>5</v>
      </c>
      <c r="E314" s="96" t="s">
        <v>16</v>
      </c>
      <c r="F314" s="93" t="s">
        <v>7</v>
      </c>
      <c r="G314" s="97" t="s">
        <v>8</v>
      </c>
    </row>
    <row r="315" ht="36" spans="1:7">
      <c r="A315" s="98">
        <v>1</v>
      </c>
      <c r="B315" s="108" t="s">
        <v>307</v>
      </c>
      <c r="C315" s="108" t="s">
        <v>308</v>
      </c>
      <c r="D315" s="56"/>
      <c r="E315" s="108"/>
      <c r="F315" s="56">
        <v>2</v>
      </c>
      <c r="G315" s="108"/>
    </row>
    <row r="316" ht="20.4" spans="1:7">
      <c r="A316" s="280" t="s">
        <v>21</v>
      </c>
      <c r="B316" s="89"/>
      <c r="C316" s="173"/>
      <c r="D316" s="89"/>
      <c r="E316" s="89"/>
      <c r="F316" s="89"/>
      <c r="G316" s="89"/>
    </row>
    <row r="317" spans="1:7">
      <c r="A317" s="92" t="s">
        <v>2</v>
      </c>
      <c r="B317" s="93" t="s">
        <v>3</v>
      </c>
      <c r="C317" s="94" t="s">
        <v>22</v>
      </c>
      <c r="D317" s="95" t="s">
        <v>5</v>
      </c>
      <c r="E317" s="96" t="s">
        <v>16</v>
      </c>
      <c r="F317" s="93" t="s">
        <v>7</v>
      </c>
      <c r="G317" s="97" t="s">
        <v>8</v>
      </c>
    </row>
    <row r="318" ht="53" spans="1:7">
      <c r="A318" s="162">
        <v>1</v>
      </c>
      <c r="B318" s="268" t="s">
        <v>309</v>
      </c>
      <c r="C318" s="105" t="s">
        <v>310</v>
      </c>
      <c r="D318" s="238">
        <v>8985</v>
      </c>
      <c r="E318" s="237"/>
      <c r="F318" s="106">
        <v>40</v>
      </c>
      <c r="G318" s="108" t="s">
        <v>297</v>
      </c>
    </row>
    <row r="319" ht="53" spans="1:7">
      <c r="A319" s="162">
        <v>2</v>
      </c>
      <c r="B319" s="268" t="s">
        <v>311</v>
      </c>
      <c r="C319" s="105" t="s">
        <v>94</v>
      </c>
      <c r="D319" s="238" t="s">
        <v>312</v>
      </c>
      <c r="E319" s="237"/>
      <c r="F319" s="106">
        <v>13</v>
      </c>
      <c r="G319" s="108" t="s">
        <v>19</v>
      </c>
    </row>
    <row r="320" ht="36" spans="1:7">
      <c r="A320" s="162">
        <v>3</v>
      </c>
      <c r="B320" s="268" t="s">
        <v>313</v>
      </c>
      <c r="C320" s="105" t="s">
        <v>314</v>
      </c>
      <c r="D320" s="238" t="s">
        <v>97</v>
      </c>
      <c r="E320" s="237"/>
      <c r="F320" s="237">
        <v>8</v>
      </c>
      <c r="G320" s="108"/>
    </row>
    <row r="321" ht="17.6" spans="1:7">
      <c r="A321" s="108" t="s">
        <v>315</v>
      </c>
      <c r="B321" s="108"/>
      <c r="C321" s="108"/>
      <c r="D321" s="56"/>
      <c r="E321" s="108"/>
      <c r="F321" s="108"/>
      <c r="G321" s="108"/>
    </row>
    <row r="322" ht="17.6" spans="1:7">
      <c r="A322" s="164"/>
      <c r="B322" s="108"/>
      <c r="C322" s="108"/>
      <c r="D322" s="56"/>
      <c r="E322" s="108"/>
      <c r="F322" s="108"/>
      <c r="G322" s="108"/>
    </row>
    <row r="323" ht="26" spans="1:7">
      <c r="A323" s="147" t="s">
        <v>316</v>
      </c>
      <c r="B323" s="147"/>
      <c r="C323" s="147"/>
      <c r="D323" s="147"/>
      <c r="E323" s="147"/>
      <c r="F323" s="147"/>
      <c r="G323" s="148"/>
    </row>
    <row r="324" ht="20.4" spans="1:7">
      <c r="A324" s="72" t="s">
        <v>301</v>
      </c>
      <c r="B324" s="73"/>
      <c r="C324" s="74"/>
      <c r="D324" s="74"/>
      <c r="E324" s="74"/>
      <c r="F324" s="74"/>
      <c r="G324" s="75"/>
    </row>
    <row r="325" ht="34" spans="1:7">
      <c r="A325" s="174">
        <v>1</v>
      </c>
      <c r="B325" s="281" t="s">
        <v>317</v>
      </c>
      <c r="C325" s="144"/>
      <c r="D325" s="82"/>
      <c r="E325" s="82"/>
      <c r="F325" s="82"/>
      <c r="G325" s="82"/>
    </row>
    <row r="326" ht="34" spans="1:7">
      <c r="A326" s="174">
        <v>2</v>
      </c>
      <c r="B326" s="281" t="s">
        <v>318</v>
      </c>
      <c r="C326" s="144"/>
      <c r="D326" s="82"/>
      <c r="E326" s="82"/>
      <c r="F326" s="82"/>
      <c r="G326" s="82"/>
    </row>
    <row r="327" ht="17" spans="1:7">
      <c r="A327" s="174">
        <v>3</v>
      </c>
      <c r="B327" s="281" t="s">
        <v>319</v>
      </c>
      <c r="C327" s="144"/>
      <c r="D327" s="82"/>
      <c r="E327" s="82"/>
      <c r="F327" s="82"/>
      <c r="G327" s="82"/>
    </row>
    <row r="328" ht="17" spans="1:7">
      <c r="A328" s="174">
        <v>4</v>
      </c>
      <c r="B328" s="281" t="s">
        <v>320</v>
      </c>
      <c r="C328" s="144"/>
      <c r="D328" s="82"/>
      <c r="E328" s="82"/>
      <c r="F328" s="82"/>
      <c r="G328" s="82"/>
    </row>
    <row r="329" ht="17" spans="1:7">
      <c r="A329" s="174">
        <v>5</v>
      </c>
      <c r="B329" s="281" t="s">
        <v>321</v>
      </c>
      <c r="C329" s="144"/>
      <c r="D329" s="82"/>
      <c r="E329" s="82"/>
      <c r="F329" s="82"/>
      <c r="G329" s="82"/>
    </row>
    <row r="330" ht="17" spans="1:7">
      <c r="A330" s="174">
        <v>6</v>
      </c>
      <c r="B330" s="281" t="s">
        <v>322</v>
      </c>
      <c r="C330" s="144"/>
      <c r="D330" s="82"/>
      <c r="E330" s="82"/>
      <c r="F330" s="82"/>
      <c r="G330" s="82"/>
    </row>
    <row r="331" ht="17" spans="1:7">
      <c r="A331" s="174">
        <v>7</v>
      </c>
      <c r="B331" s="281" t="s">
        <v>323</v>
      </c>
      <c r="C331" s="144"/>
      <c r="D331" s="82"/>
      <c r="E331" s="82"/>
      <c r="F331" s="82"/>
      <c r="G331" s="82"/>
    </row>
    <row r="332" ht="20.4" spans="1:7">
      <c r="A332" s="174">
        <v>8</v>
      </c>
      <c r="B332" s="281" t="s">
        <v>324</v>
      </c>
      <c r="C332" s="89"/>
      <c r="D332" s="89"/>
      <c r="E332" s="89"/>
      <c r="F332" s="89"/>
      <c r="G332" s="89"/>
    </row>
    <row r="333" ht="20.4" spans="1:7">
      <c r="A333" s="90" t="s">
        <v>192</v>
      </c>
      <c r="B333" s="73"/>
      <c r="C333" s="91"/>
      <c r="D333" s="91"/>
      <c r="E333" s="91"/>
      <c r="F333" s="91"/>
      <c r="G333" s="114"/>
    </row>
    <row r="334" spans="1:7">
      <c r="A334" s="92" t="s">
        <v>2</v>
      </c>
      <c r="B334" s="93" t="s">
        <v>3</v>
      </c>
      <c r="C334" s="94" t="s">
        <v>15</v>
      </c>
      <c r="D334" s="95" t="s">
        <v>5</v>
      </c>
      <c r="E334" s="96" t="s">
        <v>16</v>
      </c>
      <c r="F334" s="93" t="s">
        <v>7</v>
      </c>
      <c r="G334" s="97" t="s">
        <v>8</v>
      </c>
    </row>
    <row r="335" ht="34" spans="1:7">
      <c r="A335" s="282">
        <v>1</v>
      </c>
      <c r="B335" s="281" t="s">
        <v>325</v>
      </c>
      <c r="C335" s="283" t="s">
        <v>314</v>
      </c>
      <c r="D335" s="125"/>
      <c r="E335" s="284"/>
      <c r="F335" s="87">
        <v>2</v>
      </c>
      <c r="G335" s="285"/>
    </row>
    <row r="336" ht="20.4" spans="1:7">
      <c r="A336" s="90" t="s">
        <v>21</v>
      </c>
      <c r="B336" s="73"/>
      <c r="C336" s="91"/>
      <c r="D336" s="91"/>
      <c r="E336" s="91"/>
      <c r="F336" s="91"/>
      <c r="G336" s="114"/>
    </row>
    <row r="337" spans="1:7">
      <c r="A337" s="92" t="s">
        <v>2</v>
      </c>
      <c r="B337" s="93" t="s">
        <v>3</v>
      </c>
      <c r="C337" s="94" t="s">
        <v>22</v>
      </c>
      <c r="D337" s="95" t="s">
        <v>5</v>
      </c>
      <c r="E337" s="96" t="s">
        <v>16</v>
      </c>
      <c r="F337" s="93" t="s">
        <v>7</v>
      </c>
      <c r="G337" s="97" t="s">
        <v>8</v>
      </c>
    </row>
    <row r="338" ht="52" spans="1:7">
      <c r="A338" s="81">
        <v>1</v>
      </c>
      <c r="B338" s="281" t="s">
        <v>326</v>
      </c>
      <c r="C338" s="281" t="s">
        <v>327</v>
      </c>
      <c r="D338" s="281" t="s">
        <v>328</v>
      </c>
      <c r="E338" s="187"/>
      <c r="F338" s="185">
        <v>32</v>
      </c>
      <c r="G338" s="88" t="s">
        <v>329</v>
      </c>
    </row>
    <row r="339" ht="34" spans="1:7">
      <c r="A339" s="81">
        <v>2</v>
      </c>
      <c r="B339" s="281" t="s">
        <v>330</v>
      </c>
      <c r="C339" s="281" t="s">
        <v>81</v>
      </c>
      <c r="D339" s="56"/>
      <c r="E339" s="108"/>
      <c r="F339" s="56">
        <v>8</v>
      </c>
      <c r="G339" s="108"/>
    </row>
    <row r="340" ht="17.6" spans="1:7">
      <c r="A340" s="108" t="s">
        <v>331</v>
      </c>
      <c r="B340" s="108"/>
      <c r="C340" s="108"/>
      <c r="D340" s="56"/>
      <c r="E340" s="108"/>
      <c r="F340" s="108"/>
      <c r="G340" s="108"/>
    </row>
    <row r="341" spans="1:7">
      <c r="A341" s="110"/>
      <c r="B341" s="110"/>
      <c r="C341" s="110"/>
      <c r="D341" s="83"/>
      <c r="E341" s="83"/>
      <c r="F341" s="83"/>
      <c r="G341" s="83"/>
    </row>
    <row r="342" spans="1:7">
      <c r="A342" s="110"/>
      <c r="B342" s="110"/>
      <c r="C342" s="110"/>
      <c r="D342" s="83"/>
      <c r="E342" s="83"/>
      <c r="F342" s="83"/>
      <c r="G342" s="83"/>
    </row>
    <row r="343" ht="26" spans="1:7">
      <c r="A343" s="111" t="s">
        <v>332</v>
      </c>
      <c r="B343" s="111"/>
      <c r="C343" s="111"/>
      <c r="D343" s="111"/>
      <c r="E343" s="111"/>
      <c r="F343" s="111"/>
      <c r="G343" s="112"/>
    </row>
    <row r="344" ht="20.4" spans="1:7">
      <c r="A344" s="286" t="s">
        <v>333</v>
      </c>
      <c r="B344" s="287"/>
      <c r="C344" s="288"/>
      <c r="D344" s="288"/>
      <c r="E344" s="288"/>
      <c r="F344" s="288"/>
      <c r="G344" s="289"/>
    </row>
    <row r="345" spans="1:7">
      <c r="A345" s="290" t="s">
        <v>2</v>
      </c>
      <c r="B345" s="291" t="s">
        <v>3</v>
      </c>
      <c r="C345" s="292" t="s">
        <v>4</v>
      </c>
      <c r="D345" s="293" t="s">
        <v>5</v>
      </c>
      <c r="E345" s="291" t="s">
        <v>6</v>
      </c>
      <c r="F345" s="291" t="s">
        <v>7</v>
      </c>
      <c r="G345" s="294" t="s">
        <v>8</v>
      </c>
    </row>
    <row r="346" ht="17.6" spans="1:7">
      <c r="A346" s="290">
        <v>1</v>
      </c>
      <c r="B346" s="281" t="s">
        <v>334</v>
      </c>
      <c r="C346" s="295" t="s">
        <v>327</v>
      </c>
      <c r="D346" s="191">
        <v>5835</v>
      </c>
      <c r="E346" s="168"/>
      <c r="F346" s="277">
        <v>2</v>
      </c>
      <c r="G346" s="296"/>
    </row>
    <row r="347" ht="17" spans="1:7">
      <c r="A347" s="93">
        <v>2</v>
      </c>
      <c r="B347" s="281" t="s">
        <v>335</v>
      </c>
      <c r="C347" s="34"/>
      <c r="D347" s="119"/>
      <c r="E347" s="120"/>
      <c r="F347" s="84"/>
      <c r="G347" s="84"/>
    </row>
    <row r="348" ht="17" spans="1:7">
      <c r="A348" s="93">
        <v>3</v>
      </c>
      <c r="B348" s="281" t="s">
        <v>336</v>
      </c>
      <c r="C348" s="34"/>
      <c r="D348" s="119"/>
      <c r="E348" s="123"/>
      <c r="F348" s="88"/>
      <c r="G348" s="88"/>
    </row>
    <row r="349" ht="17" spans="1:7">
      <c r="A349" s="93">
        <v>4</v>
      </c>
      <c r="B349" s="281" t="s">
        <v>337</v>
      </c>
      <c r="C349" s="34"/>
      <c r="D349" s="119"/>
      <c r="E349" s="123"/>
      <c r="F349" s="88"/>
      <c r="G349" s="88"/>
    </row>
    <row r="350" ht="17" spans="1:7">
      <c r="A350" s="93">
        <v>5</v>
      </c>
      <c r="B350" s="281" t="s">
        <v>338</v>
      </c>
      <c r="C350" s="34"/>
      <c r="D350" s="119"/>
      <c r="E350" s="123"/>
      <c r="F350" s="88"/>
      <c r="G350" s="88"/>
    </row>
    <row r="351" ht="20.4" spans="1:7">
      <c r="A351" s="72" t="s">
        <v>192</v>
      </c>
      <c r="B351" s="73"/>
      <c r="C351" s="74"/>
      <c r="D351" s="74"/>
      <c r="E351" s="74"/>
      <c r="F351" s="74"/>
      <c r="G351" s="75"/>
    </row>
    <row r="352" spans="1:7">
      <c r="A352" s="92" t="s">
        <v>2</v>
      </c>
      <c r="B352" s="93" t="s">
        <v>3</v>
      </c>
      <c r="C352" s="94" t="s">
        <v>15</v>
      </c>
      <c r="D352" s="95" t="s">
        <v>5</v>
      </c>
      <c r="E352" s="96" t="s">
        <v>16</v>
      </c>
      <c r="F352" s="93" t="s">
        <v>7</v>
      </c>
      <c r="G352" s="97" t="s">
        <v>8</v>
      </c>
    </row>
    <row r="353" ht="31" spans="1:7">
      <c r="A353" s="297">
        <v>1</v>
      </c>
      <c r="B353" s="281" t="s">
        <v>339</v>
      </c>
      <c r="C353" s="281" t="s">
        <v>314</v>
      </c>
      <c r="D353" s="298">
        <v>43146</v>
      </c>
      <c r="E353" s="89"/>
      <c r="F353" s="187">
        <v>7</v>
      </c>
      <c r="G353" s="124" t="s">
        <v>19</v>
      </c>
    </row>
    <row r="354" ht="34" spans="1:7">
      <c r="A354" s="299">
        <v>2</v>
      </c>
      <c r="B354" s="281" t="s">
        <v>340</v>
      </c>
      <c r="C354" s="281"/>
      <c r="D354" s="300"/>
      <c r="E354" s="253"/>
      <c r="F354" s="249"/>
      <c r="G354" s="250"/>
    </row>
    <row r="355" ht="20.4" spans="1:7">
      <c r="A355" s="187">
        <v>3</v>
      </c>
      <c r="B355" s="281" t="s">
        <v>341</v>
      </c>
      <c r="C355" s="281" t="s">
        <v>314</v>
      </c>
      <c r="D355" s="267"/>
      <c r="E355" s="89"/>
      <c r="F355" s="187">
        <v>2</v>
      </c>
      <c r="G355" s="82"/>
    </row>
    <row r="356" ht="20.4" spans="1:7">
      <c r="A356" s="90" t="s">
        <v>21</v>
      </c>
      <c r="B356" s="113"/>
      <c r="C356" s="91"/>
      <c r="D356" s="91"/>
      <c r="E356" s="91"/>
      <c r="F356" s="91"/>
      <c r="G356" s="114"/>
    </row>
    <row r="357" spans="1:7">
      <c r="A357" s="92" t="s">
        <v>2</v>
      </c>
      <c r="B357" s="93" t="s">
        <v>3</v>
      </c>
      <c r="C357" s="94" t="s">
        <v>22</v>
      </c>
      <c r="D357" s="95" t="s">
        <v>5</v>
      </c>
      <c r="E357" s="96" t="s">
        <v>16</v>
      </c>
      <c r="F357" s="93" t="s">
        <v>7</v>
      </c>
      <c r="G357" s="97" t="s">
        <v>8</v>
      </c>
    </row>
    <row r="358" ht="51" spans="1:7">
      <c r="A358" s="198">
        <v>1</v>
      </c>
      <c r="B358" s="281" t="s">
        <v>342</v>
      </c>
      <c r="C358" s="281" t="s">
        <v>81</v>
      </c>
      <c r="D358" s="132" t="s">
        <v>343</v>
      </c>
      <c r="E358" s="281"/>
      <c r="F358" s="281">
        <v>13</v>
      </c>
      <c r="G358" s="281" t="s">
        <v>19</v>
      </c>
    </row>
    <row r="359" ht="17.6" spans="1:7">
      <c r="A359" s="198">
        <v>2</v>
      </c>
      <c r="B359" s="281" t="s">
        <v>344</v>
      </c>
      <c r="C359" s="281"/>
      <c r="D359" s="281"/>
      <c r="E359" s="281"/>
      <c r="F359" s="281"/>
      <c r="G359" s="281"/>
    </row>
    <row r="360" ht="17.6" spans="1:7">
      <c r="A360" s="198">
        <v>3</v>
      </c>
      <c r="B360" s="281" t="s">
        <v>345</v>
      </c>
      <c r="C360" s="281" t="s">
        <v>314</v>
      </c>
      <c r="D360" s="281"/>
      <c r="E360" s="281"/>
      <c r="F360" s="281">
        <v>8</v>
      </c>
      <c r="G360" s="281"/>
    </row>
    <row r="361" ht="34" spans="1:7">
      <c r="A361" s="198">
        <v>4</v>
      </c>
      <c r="B361" s="281" t="s">
        <v>346</v>
      </c>
      <c r="C361" s="281" t="s">
        <v>347</v>
      </c>
      <c r="D361" s="281"/>
      <c r="E361" s="281"/>
      <c r="F361" s="281"/>
      <c r="G361" s="281" t="s">
        <v>348</v>
      </c>
    </row>
    <row r="362" ht="34" spans="1:7">
      <c r="A362" s="198">
        <v>5</v>
      </c>
      <c r="B362" s="281" t="s">
        <v>349</v>
      </c>
      <c r="C362" s="281" t="s">
        <v>350</v>
      </c>
      <c r="D362" s="281"/>
      <c r="E362" s="281"/>
      <c r="F362" s="281">
        <v>8</v>
      </c>
      <c r="G362" s="281"/>
    </row>
    <row r="363" ht="17.6" spans="1:7">
      <c r="A363" s="108" t="s">
        <v>331</v>
      </c>
      <c r="B363" s="108"/>
      <c r="C363" s="108"/>
      <c r="D363" s="56"/>
      <c r="E363" s="108"/>
      <c r="F363" s="108"/>
      <c r="G363" s="108"/>
    </row>
    <row r="364" spans="1:7">
      <c r="A364" s="110"/>
      <c r="B364" s="110"/>
      <c r="C364" s="110"/>
      <c r="D364" s="110"/>
      <c r="E364" s="110"/>
      <c r="F364" s="83"/>
      <c r="G364" s="83"/>
    </row>
    <row r="365" spans="1:7">
      <c r="A365" s="110"/>
      <c r="B365" s="110"/>
      <c r="C365" s="110"/>
      <c r="D365" s="110"/>
      <c r="E365" s="110"/>
      <c r="F365" s="83"/>
      <c r="G365" s="83"/>
    </row>
    <row r="366" spans="1:7">
      <c r="A366" s="110"/>
      <c r="B366" s="110"/>
      <c r="C366" s="110"/>
      <c r="D366" s="110"/>
      <c r="E366" s="110"/>
      <c r="F366" s="83"/>
      <c r="G366" s="83"/>
    </row>
    <row r="367" ht="26" spans="1:7">
      <c r="A367" s="111" t="s">
        <v>351</v>
      </c>
      <c r="B367" s="111"/>
      <c r="C367" s="111"/>
      <c r="D367" s="111"/>
      <c r="E367" s="111"/>
      <c r="F367" s="111"/>
      <c r="G367" s="112"/>
    </row>
    <row r="368" ht="20.4" spans="1:7">
      <c r="A368" s="72" t="s">
        <v>1</v>
      </c>
      <c r="B368" s="73"/>
      <c r="C368" s="74"/>
      <c r="D368" s="74"/>
      <c r="E368" s="74"/>
      <c r="F368" s="74"/>
      <c r="G368" s="75"/>
    </row>
    <row r="369" spans="1:7">
      <c r="A369" s="115" t="s">
        <v>2</v>
      </c>
      <c r="B369" s="93" t="s">
        <v>3</v>
      </c>
      <c r="C369" s="135" t="s">
        <v>4</v>
      </c>
      <c r="D369" s="95" t="s">
        <v>5</v>
      </c>
      <c r="E369" s="93" t="s">
        <v>6</v>
      </c>
      <c r="F369" s="93" t="s">
        <v>7</v>
      </c>
      <c r="G369" s="97" t="s">
        <v>8</v>
      </c>
    </row>
    <row r="370" ht="34" spans="1:7">
      <c r="A370" s="93">
        <v>1</v>
      </c>
      <c r="B370" s="281" t="s">
        <v>352</v>
      </c>
      <c r="C370" s="126"/>
      <c r="D370" s="150"/>
      <c r="E370" s="151"/>
      <c r="F370" s="84"/>
      <c r="G370" s="84"/>
    </row>
    <row r="371" ht="17" spans="1:7">
      <c r="A371" s="93">
        <v>2</v>
      </c>
      <c r="B371" s="281" t="s">
        <v>353</v>
      </c>
      <c r="C371" s="126"/>
      <c r="D371" s="150"/>
      <c r="E371" s="151"/>
      <c r="F371" s="84"/>
      <c r="G371" s="84"/>
    </row>
    <row r="372" ht="34" spans="1:7">
      <c r="A372" s="93">
        <v>3</v>
      </c>
      <c r="B372" s="281" t="s">
        <v>354</v>
      </c>
      <c r="C372" s="89"/>
      <c r="D372" s="89"/>
      <c r="E372" s="89"/>
      <c r="F372" s="89"/>
      <c r="G372" s="89"/>
    </row>
    <row r="373" ht="20.4" spans="1:7">
      <c r="A373" s="93">
        <v>4</v>
      </c>
      <c r="B373" s="281" t="s">
        <v>355</v>
      </c>
      <c r="C373" s="89"/>
      <c r="D373" s="89"/>
      <c r="E373" s="89"/>
      <c r="F373" s="89"/>
      <c r="G373" s="89"/>
    </row>
    <row r="374" ht="20.4" spans="1:7">
      <c r="A374" s="93">
        <v>5</v>
      </c>
      <c r="B374" s="281" t="s">
        <v>356</v>
      </c>
      <c r="C374" s="89"/>
      <c r="D374" s="89"/>
      <c r="E374" s="89"/>
      <c r="F374" s="89"/>
      <c r="G374" s="89"/>
    </row>
    <row r="375" ht="20.4" spans="1:7">
      <c r="A375" s="93">
        <v>6</v>
      </c>
      <c r="B375" s="281" t="s">
        <v>357</v>
      </c>
      <c r="C375" s="89"/>
      <c r="D375" s="89"/>
      <c r="E375" s="89"/>
      <c r="F375" s="89"/>
      <c r="G375" s="89"/>
    </row>
    <row r="376" ht="20.4" spans="1:7">
      <c r="A376" s="93">
        <v>7</v>
      </c>
      <c r="B376" s="281" t="s">
        <v>358</v>
      </c>
      <c r="C376" s="89"/>
      <c r="D376" s="89"/>
      <c r="E376" s="89"/>
      <c r="F376" s="89"/>
      <c r="G376" s="89"/>
    </row>
    <row r="377" ht="20.4" spans="1:7">
      <c r="A377" s="93">
        <v>8</v>
      </c>
      <c r="B377" s="281" t="s">
        <v>359</v>
      </c>
      <c r="C377" s="89"/>
      <c r="D377" s="89"/>
      <c r="E377" s="89"/>
      <c r="F377" s="89"/>
      <c r="G377" s="89"/>
    </row>
    <row r="378" ht="20.4" spans="1:7">
      <c r="A378" s="93">
        <v>9</v>
      </c>
      <c r="B378" s="281" t="s">
        <v>360</v>
      </c>
      <c r="C378" s="89"/>
      <c r="D378" s="89"/>
      <c r="E378" s="89"/>
      <c r="F378" s="89"/>
      <c r="G378" s="89"/>
    </row>
    <row r="379" ht="20.4" spans="1:7">
      <c r="A379" s="93">
        <v>10</v>
      </c>
      <c r="B379" s="281" t="s">
        <v>361</v>
      </c>
      <c r="C379" s="89"/>
      <c r="D379" s="89"/>
      <c r="E379" s="89"/>
      <c r="F379" s="89"/>
      <c r="G379" s="89"/>
    </row>
    <row r="380" ht="20.4" spans="1:7">
      <c r="A380" s="93">
        <v>11</v>
      </c>
      <c r="B380" s="281" t="s">
        <v>362</v>
      </c>
      <c r="C380" s="89"/>
      <c r="D380" s="89"/>
      <c r="E380" s="89"/>
      <c r="F380" s="89"/>
      <c r="G380" s="89"/>
    </row>
    <row r="381" ht="20.4" spans="1:7">
      <c r="A381" s="93">
        <v>12</v>
      </c>
      <c r="B381" s="281" t="s">
        <v>363</v>
      </c>
      <c r="C381" s="89"/>
      <c r="D381" s="89"/>
      <c r="E381" s="89"/>
      <c r="F381" s="89"/>
      <c r="G381" s="89"/>
    </row>
    <row r="382" ht="20.4" spans="1:7">
      <c r="A382" s="93">
        <v>13</v>
      </c>
      <c r="B382" s="281" t="s">
        <v>364</v>
      </c>
      <c r="C382" s="89"/>
      <c r="D382" s="89"/>
      <c r="E382" s="89"/>
      <c r="F382" s="89"/>
      <c r="G382" s="89"/>
    </row>
    <row r="383" ht="34" spans="1:7">
      <c r="A383" s="93">
        <v>14</v>
      </c>
      <c r="B383" s="281" t="s">
        <v>365</v>
      </c>
      <c r="C383" s="89"/>
      <c r="D383" s="89"/>
      <c r="E383" s="89"/>
      <c r="F383" s="89"/>
      <c r="G383" s="89"/>
    </row>
    <row r="384" ht="20.4" spans="1:7">
      <c r="A384" s="90" t="s">
        <v>192</v>
      </c>
      <c r="B384" s="73"/>
      <c r="C384" s="91"/>
      <c r="D384" s="91"/>
      <c r="E384" s="91"/>
      <c r="F384" s="91"/>
      <c r="G384" s="114"/>
    </row>
    <row r="385" spans="1:7">
      <c r="A385" s="92" t="s">
        <v>2</v>
      </c>
      <c r="B385" s="93" t="s">
        <v>3</v>
      </c>
      <c r="C385" s="94" t="s">
        <v>15</v>
      </c>
      <c r="D385" s="95" t="s">
        <v>5</v>
      </c>
      <c r="E385" s="96" t="s">
        <v>16</v>
      </c>
      <c r="F385" s="93" t="s">
        <v>7</v>
      </c>
      <c r="G385" s="97" t="s">
        <v>8</v>
      </c>
    </row>
    <row r="386" ht="20.4" spans="1:7">
      <c r="A386" s="192">
        <v>1</v>
      </c>
      <c r="B386" s="281" t="s">
        <v>366</v>
      </c>
      <c r="C386" s="281" t="s">
        <v>81</v>
      </c>
      <c r="D386" s="281"/>
      <c r="E386" s="89"/>
      <c r="F386" s="187">
        <v>2</v>
      </c>
      <c r="G386" s="124"/>
    </row>
    <row r="387" ht="20.4" spans="1:7">
      <c r="A387" s="299">
        <v>2</v>
      </c>
      <c r="B387" s="281" t="s">
        <v>367</v>
      </c>
      <c r="C387" s="281" t="s">
        <v>81</v>
      </c>
      <c r="D387" s="281"/>
      <c r="E387" s="89"/>
      <c r="F387" s="187">
        <v>2</v>
      </c>
      <c r="G387" s="88"/>
    </row>
    <row r="388" ht="20.4" spans="1:7">
      <c r="A388" s="299"/>
      <c r="B388" s="281" t="s">
        <v>368</v>
      </c>
      <c r="C388" s="281" t="s">
        <v>81</v>
      </c>
      <c r="D388" s="281"/>
      <c r="E388" s="89"/>
      <c r="F388" s="187">
        <v>2</v>
      </c>
      <c r="G388" s="89"/>
    </row>
    <row r="389" ht="20.4" spans="1:7">
      <c r="A389" s="299">
        <v>3</v>
      </c>
      <c r="B389" s="281" t="s">
        <v>369</v>
      </c>
      <c r="C389" s="281" t="s">
        <v>81</v>
      </c>
      <c r="D389" s="281"/>
      <c r="E389" s="89"/>
      <c r="F389" s="187">
        <v>2</v>
      </c>
      <c r="G389" s="89"/>
    </row>
    <row r="390" ht="20.4" spans="1:7">
      <c r="A390" s="72" t="s">
        <v>21</v>
      </c>
      <c r="B390" s="73"/>
      <c r="C390" s="74"/>
      <c r="D390" s="74"/>
      <c r="E390" s="74"/>
      <c r="F390" s="74"/>
      <c r="G390" s="75"/>
    </row>
    <row r="391" spans="1:7">
      <c r="A391" s="92" t="s">
        <v>2</v>
      </c>
      <c r="B391" s="93" t="s">
        <v>3</v>
      </c>
      <c r="C391" s="94" t="s">
        <v>22</v>
      </c>
      <c r="D391" s="95" t="s">
        <v>5</v>
      </c>
      <c r="E391" s="96" t="s">
        <v>16</v>
      </c>
      <c r="F391" s="93" t="s">
        <v>7</v>
      </c>
      <c r="G391" s="97" t="s">
        <v>8</v>
      </c>
    </row>
    <row r="392" ht="34" spans="1:7">
      <c r="A392" s="104">
        <v>1</v>
      </c>
      <c r="B392" s="281" t="s">
        <v>370</v>
      </c>
      <c r="C392" s="281" t="s">
        <v>314</v>
      </c>
      <c r="D392" s="132" t="s">
        <v>371</v>
      </c>
      <c r="E392" s="281"/>
      <c r="F392" s="281">
        <v>16</v>
      </c>
      <c r="G392" s="281" t="s">
        <v>60</v>
      </c>
    </row>
    <row r="393" ht="51" spans="1:7">
      <c r="A393" s="104">
        <v>2</v>
      </c>
      <c r="B393" s="281" t="s">
        <v>372</v>
      </c>
      <c r="C393" s="281" t="s">
        <v>314</v>
      </c>
      <c r="D393" s="281"/>
      <c r="E393" s="281"/>
      <c r="F393" s="281">
        <v>8</v>
      </c>
      <c r="G393" s="281"/>
    </row>
    <row r="394" ht="34" spans="1:7">
      <c r="A394" s="104">
        <v>3</v>
      </c>
      <c r="B394" s="281" t="s">
        <v>373</v>
      </c>
      <c r="C394" s="281" t="s">
        <v>314</v>
      </c>
      <c r="D394" s="281"/>
      <c r="E394" s="281"/>
      <c r="F394" s="281">
        <v>8</v>
      </c>
      <c r="G394" s="281"/>
    </row>
    <row r="395" ht="51" spans="1:7">
      <c r="A395" s="104">
        <v>4</v>
      </c>
      <c r="B395" s="281" t="s">
        <v>374</v>
      </c>
      <c r="C395" s="281" t="s">
        <v>314</v>
      </c>
      <c r="D395" s="132" t="s">
        <v>375</v>
      </c>
      <c r="E395" s="281"/>
      <c r="F395" s="281">
        <v>13</v>
      </c>
      <c r="G395" s="281" t="s">
        <v>19</v>
      </c>
    </row>
    <row r="396" ht="34" spans="1:7">
      <c r="A396" s="104">
        <v>5</v>
      </c>
      <c r="B396" s="281" t="s">
        <v>376</v>
      </c>
      <c r="C396" s="281" t="s">
        <v>377</v>
      </c>
      <c r="D396" s="281"/>
      <c r="E396" s="281"/>
      <c r="F396" s="281">
        <v>10</v>
      </c>
      <c r="G396" s="281" t="s">
        <v>27</v>
      </c>
    </row>
    <row r="397" ht="51" spans="1:7">
      <c r="A397" s="104">
        <v>6</v>
      </c>
      <c r="B397" s="281" t="s">
        <v>378</v>
      </c>
      <c r="C397" s="281" t="s">
        <v>314</v>
      </c>
      <c r="D397" s="132" t="s">
        <v>379</v>
      </c>
      <c r="E397" s="281"/>
      <c r="F397" s="281">
        <v>20</v>
      </c>
      <c r="G397" s="281" t="s">
        <v>198</v>
      </c>
    </row>
    <row r="398" ht="17.6" spans="1:7">
      <c r="A398" s="108" t="s">
        <v>331</v>
      </c>
      <c r="B398" s="108"/>
      <c r="C398" s="108"/>
      <c r="D398" s="56"/>
      <c r="E398" s="108"/>
      <c r="F398" s="108"/>
      <c r="G398" s="108"/>
    </row>
    <row r="399" spans="1:7">
      <c r="A399" s="83"/>
      <c r="B399" s="83"/>
      <c r="C399" s="83"/>
      <c r="D399" s="83"/>
      <c r="E399" s="83"/>
      <c r="F399" s="83"/>
      <c r="G399" s="83"/>
    </row>
    <row r="400" ht="17.55" spans="1:7">
      <c r="A400" s="83"/>
      <c r="B400" s="83"/>
      <c r="C400" s="83"/>
      <c r="D400" s="83"/>
      <c r="E400" s="83"/>
      <c r="F400" s="83"/>
      <c r="G400" s="83"/>
    </row>
    <row r="401" ht="26" spans="1:7">
      <c r="A401" s="214" t="s">
        <v>380</v>
      </c>
      <c r="B401" s="147"/>
      <c r="C401" s="215"/>
      <c r="D401" s="216"/>
      <c r="E401" s="216"/>
      <c r="F401" s="217"/>
      <c r="G401" s="218"/>
    </row>
    <row r="402" ht="20.4" spans="1:7">
      <c r="A402" s="72" t="s">
        <v>1</v>
      </c>
      <c r="B402" s="73"/>
      <c r="C402" s="74"/>
      <c r="D402" s="74"/>
      <c r="E402" s="74"/>
      <c r="F402" s="74"/>
      <c r="G402" s="75"/>
    </row>
    <row r="403" spans="1:7">
      <c r="A403" s="115" t="s">
        <v>2</v>
      </c>
      <c r="B403" s="93" t="s">
        <v>3</v>
      </c>
      <c r="C403" s="135" t="s">
        <v>4</v>
      </c>
      <c r="D403" s="95" t="s">
        <v>5</v>
      </c>
      <c r="E403" s="93" t="s">
        <v>6</v>
      </c>
      <c r="F403" s="93" t="s">
        <v>7</v>
      </c>
      <c r="G403" s="97" t="s">
        <v>8</v>
      </c>
    </row>
    <row r="404" ht="17" spans="1:7">
      <c r="A404" s="93">
        <v>1</v>
      </c>
      <c r="B404" s="281" t="s">
        <v>381</v>
      </c>
      <c r="C404" s="301"/>
      <c r="D404" s="119"/>
      <c r="E404" s="120"/>
      <c r="F404" s="84"/>
      <c r="G404" s="84"/>
    </row>
    <row r="405" ht="17" spans="1:7">
      <c r="A405" s="93">
        <v>2</v>
      </c>
      <c r="B405" s="281" t="s">
        <v>382</v>
      </c>
      <c r="C405" s="301"/>
      <c r="D405" s="119"/>
      <c r="E405" s="120"/>
      <c r="F405" s="84"/>
      <c r="G405" s="84"/>
    </row>
    <row r="406" ht="17" spans="1:7">
      <c r="A406" s="93">
        <v>3</v>
      </c>
      <c r="B406" s="281" t="s">
        <v>383</v>
      </c>
      <c r="C406" s="301"/>
      <c r="D406" s="119"/>
      <c r="E406" s="123"/>
      <c r="F406" s="88"/>
      <c r="G406" s="88"/>
    </row>
    <row r="407" ht="17" spans="1:7">
      <c r="A407" s="93">
        <v>4</v>
      </c>
      <c r="B407" s="281" t="s">
        <v>384</v>
      </c>
      <c r="C407" s="301"/>
      <c r="D407" s="119"/>
      <c r="E407" s="123"/>
      <c r="F407" s="88"/>
      <c r="G407" s="88"/>
    </row>
    <row r="408" ht="17.6" spans="1:7">
      <c r="A408" s="93">
        <v>5</v>
      </c>
      <c r="B408" s="191" t="s">
        <v>385</v>
      </c>
      <c r="C408" s="301"/>
      <c r="D408" s="119"/>
      <c r="E408" s="35"/>
      <c r="F408" s="35"/>
      <c r="G408" s="84"/>
    </row>
    <row r="409" ht="17" spans="1:7">
      <c r="A409" s="93">
        <v>6</v>
      </c>
      <c r="B409" s="281" t="s">
        <v>386</v>
      </c>
      <c r="C409" s="301"/>
      <c r="D409" s="119"/>
      <c r="E409" s="35"/>
      <c r="F409" s="35"/>
      <c r="G409" s="84"/>
    </row>
    <row r="410" ht="20.4" spans="1:7">
      <c r="A410" s="72" t="s">
        <v>79</v>
      </c>
      <c r="B410" s="73"/>
      <c r="C410" s="74"/>
      <c r="D410" s="74"/>
      <c r="E410" s="74"/>
      <c r="F410" s="74"/>
      <c r="G410" s="75"/>
    </row>
    <row r="411" spans="1:7">
      <c r="A411" s="92" t="s">
        <v>2</v>
      </c>
      <c r="B411" s="93"/>
      <c r="C411" s="94"/>
      <c r="D411" s="95"/>
      <c r="E411" s="96"/>
      <c r="F411" s="93"/>
      <c r="G411" s="97" t="s">
        <v>8</v>
      </c>
    </row>
    <row r="412" ht="51" spans="1:7">
      <c r="A412" s="297">
        <v>1</v>
      </c>
      <c r="B412" s="281" t="s">
        <v>387</v>
      </c>
      <c r="C412" s="281" t="s">
        <v>81</v>
      </c>
      <c r="D412" s="281"/>
      <c r="E412" s="281"/>
      <c r="F412" s="281">
        <v>7</v>
      </c>
      <c r="G412" s="281" t="s">
        <v>388</v>
      </c>
    </row>
    <row r="413" ht="17" spans="1:7">
      <c r="A413" s="297">
        <v>2</v>
      </c>
      <c r="B413" s="281" t="s">
        <v>389</v>
      </c>
      <c r="C413" s="281" t="s">
        <v>81</v>
      </c>
      <c r="D413" s="281"/>
      <c r="E413" s="281"/>
      <c r="F413" s="281">
        <v>2</v>
      </c>
      <c r="G413" s="281"/>
    </row>
    <row r="414" ht="51" spans="1:7">
      <c r="A414" s="297">
        <v>3</v>
      </c>
      <c r="B414" s="281" t="s">
        <v>390</v>
      </c>
      <c r="C414" s="281" t="s">
        <v>314</v>
      </c>
      <c r="D414" s="281" t="s">
        <v>391</v>
      </c>
      <c r="E414" s="281"/>
      <c r="F414" s="281">
        <v>26</v>
      </c>
      <c r="G414" s="281" t="s">
        <v>392</v>
      </c>
    </row>
    <row r="415" ht="17" spans="1:7">
      <c r="A415" s="297">
        <v>4</v>
      </c>
      <c r="B415" s="281" t="s">
        <v>393</v>
      </c>
      <c r="C415" s="281" t="s">
        <v>314</v>
      </c>
      <c r="D415" s="281"/>
      <c r="E415" s="281"/>
      <c r="F415" s="281">
        <v>2</v>
      </c>
      <c r="G415" s="281"/>
    </row>
    <row r="416" ht="17" spans="1:7">
      <c r="A416" s="297">
        <v>5</v>
      </c>
      <c r="B416" s="281" t="s">
        <v>394</v>
      </c>
      <c r="C416" s="281"/>
      <c r="D416" s="281"/>
      <c r="E416" s="281"/>
      <c r="F416" s="281"/>
      <c r="G416" s="281"/>
    </row>
    <row r="417" ht="20.4" spans="1:7">
      <c r="A417" s="302" t="s">
        <v>21</v>
      </c>
      <c r="B417" s="303"/>
      <c r="C417" s="304"/>
      <c r="D417" s="304"/>
      <c r="E417" s="304"/>
      <c r="F417" s="304"/>
      <c r="G417" s="305"/>
    </row>
    <row r="418" spans="1:7">
      <c r="A418" s="92" t="s">
        <v>2</v>
      </c>
      <c r="B418" s="93" t="s">
        <v>3</v>
      </c>
      <c r="C418" s="94" t="s">
        <v>22</v>
      </c>
      <c r="D418" s="95" t="s">
        <v>5</v>
      </c>
      <c r="E418" s="96" t="s">
        <v>16</v>
      </c>
      <c r="F418" s="93" t="s">
        <v>7</v>
      </c>
      <c r="G418" s="97" t="s">
        <v>8</v>
      </c>
    </row>
    <row r="419" ht="17.6" spans="1:7">
      <c r="A419" s="104">
        <v>1</v>
      </c>
      <c r="B419" s="281" t="s">
        <v>395</v>
      </c>
      <c r="C419" s="281" t="s">
        <v>314</v>
      </c>
      <c r="D419" s="281"/>
      <c r="E419" s="281"/>
      <c r="F419" s="281">
        <v>8</v>
      </c>
      <c r="G419" s="281"/>
    </row>
    <row r="420" ht="17.6" spans="1:7">
      <c r="A420" s="104">
        <v>2</v>
      </c>
      <c r="B420" s="281" t="s">
        <v>396</v>
      </c>
      <c r="C420" s="281" t="s">
        <v>314</v>
      </c>
      <c r="D420" s="281"/>
      <c r="E420" s="281"/>
      <c r="F420" s="281">
        <v>8</v>
      </c>
      <c r="G420" s="281"/>
    </row>
    <row r="421" ht="51" spans="1:7">
      <c r="A421" s="104">
        <v>3</v>
      </c>
      <c r="B421" s="281" t="s">
        <v>397</v>
      </c>
      <c r="C421" s="281" t="s">
        <v>398</v>
      </c>
      <c r="D421" s="281">
        <v>33285</v>
      </c>
      <c r="E421" s="281"/>
      <c r="F421" s="281">
        <v>13</v>
      </c>
      <c r="G421" s="281" t="s">
        <v>19</v>
      </c>
    </row>
    <row r="422" ht="51" spans="1:7">
      <c r="A422" s="104">
        <v>4</v>
      </c>
      <c r="B422" s="281" t="s">
        <v>399</v>
      </c>
      <c r="C422" s="281" t="s">
        <v>400</v>
      </c>
      <c r="D422" s="281">
        <v>191609</v>
      </c>
      <c r="E422" s="281"/>
      <c r="F422" s="281">
        <v>20</v>
      </c>
      <c r="G422" s="281" t="s">
        <v>198</v>
      </c>
    </row>
    <row r="423" ht="17.6" spans="1:7">
      <c r="A423" s="104">
        <v>5</v>
      </c>
      <c r="B423" s="281" t="s">
        <v>401</v>
      </c>
      <c r="C423" s="281" t="s">
        <v>314</v>
      </c>
      <c r="D423" s="281"/>
      <c r="E423" s="281"/>
      <c r="F423" s="281">
        <v>8</v>
      </c>
      <c r="G423" s="281"/>
    </row>
    <row r="424" ht="17.6" spans="1:7">
      <c r="A424" s="104">
        <v>6</v>
      </c>
      <c r="B424" s="281" t="s">
        <v>402</v>
      </c>
      <c r="C424" s="281" t="s">
        <v>314</v>
      </c>
      <c r="D424" s="281"/>
      <c r="E424" s="281"/>
      <c r="F424" s="281">
        <v>8</v>
      </c>
      <c r="G424" s="281"/>
    </row>
    <row r="425" ht="17.6" spans="1:7">
      <c r="A425" s="104">
        <v>7</v>
      </c>
      <c r="B425" s="281" t="s">
        <v>403</v>
      </c>
      <c r="C425" s="281" t="s">
        <v>205</v>
      </c>
      <c r="D425" s="281"/>
      <c r="E425" s="281"/>
      <c r="F425" s="281">
        <v>8</v>
      </c>
      <c r="G425" s="281"/>
    </row>
    <row r="426" ht="17.6" spans="1:7">
      <c r="A426" s="104">
        <v>8</v>
      </c>
      <c r="B426" s="281" t="s">
        <v>404</v>
      </c>
      <c r="C426" s="281" t="s">
        <v>81</v>
      </c>
      <c r="D426" s="281"/>
      <c r="E426" s="281"/>
      <c r="F426" s="281">
        <v>8</v>
      </c>
      <c r="G426" s="281"/>
    </row>
    <row r="427" ht="51" spans="1:7">
      <c r="A427" s="104">
        <v>9</v>
      </c>
      <c r="B427" s="281" t="s">
        <v>405</v>
      </c>
      <c r="C427" s="281" t="s">
        <v>406</v>
      </c>
      <c r="D427" s="132" t="s">
        <v>407</v>
      </c>
      <c r="E427" s="281"/>
      <c r="F427" s="281">
        <v>13</v>
      </c>
      <c r="G427" s="281" t="s">
        <v>19</v>
      </c>
    </row>
    <row r="428" ht="17.6" spans="1:7">
      <c r="A428" s="104">
        <v>10</v>
      </c>
      <c r="B428" s="281" t="s">
        <v>408</v>
      </c>
      <c r="C428" s="281" t="s">
        <v>409</v>
      </c>
      <c r="D428" s="281"/>
      <c r="E428" s="281"/>
      <c r="F428" s="281">
        <v>8</v>
      </c>
      <c r="G428" s="281"/>
    </row>
    <row r="429" ht="51" spans="1:7">
      <c r="A429" s="104">
        <v>11</v>
      </c>
      <c r="B429" s="281" t="s">
        <v>410</v>
      </c>
      <c r="C429" s="281" t="s">
        <v>327</v>
      </c>
      <c r="D429" s="132" t="s">
        <v>411</v>
      </c>
      <c r="E429" s="281"/>
      <c r="F429" s="281">
        <v>20</v>
      </c>
      <c r="G429" s="281" t="s">
        <v>198</v>
      </c>
    </row>
    <row r="430" ht="34" spans="1:7">
      <c r="A430" s="104">
        <v>12</v>
      </c>
      <c r="B430" s="281" t="s">
        <v>412</v>
      </c>
      <c r="C430" s="281" t="s">
        <v>413</v>
      </c>
      <c r="D430" s="281"/>
      <c r="E430" s="281"/>
      <c r="F430" s="281">
        <v>8</v>
      </c>
      <c r="G430" s="281"/>
    </row>
    <row r="431" ht="17.6" spans="1:7">
      <c r="A431" s="108" t="s">
        <v>331</v>
      </c>
      <c r="B431" s="108"/>
      <c r="C431" s="108"/>
      <c r="D431" s="56"/>
      <c r="E431" s="108"/>
      <c r="F431" s="108"/>
      <c r="G431" s="108"/>
    </row>
    <row r="432" spans="1:7">
      <c r="A432" s="110"/>
      <c r="B432" s="110"/>
      <c r="C432" s="110"/>
      <c r="D432" s="110"/>
      <c r="E432" s="83"/>
      <c r="F432" s="83"/>
      <c r="G432" s="83"/>
    </row>
    <row r="433" spans="1:7">
      <c r="A433" s="110"/>
      <c r="B433" s="110"/>
      <c r="C433" s="110"/>
      <c r="D433" s="110"/>
      <c r="E433" s="83"/>
      <c r="F433" s="83"/>
      <c r="G433" s="83"/>
    </row>
    <row r="434" ht="26" spans="1:7">
      <c r="A434" s="147" t="s">
        <v>414</v>
      </c>
      <c r="B434" s="147"/>
      <c r="C434" s="147"/>
      <c r="D434" s="147"/>
      <c r="E434" s="147"/>
      <c r="F434" s="147"/>
      <c r="G434" s="148"/>
    </row>
    <row r="435" ht="20.4" spans="1:7">
      <c r="A435" s="90" t="s">
        <v>301</v>
      </c>
      <c r="B435" s="113"/>
      <c r="C435" s="91"/>
      <c r="D435" s="91"/>
      <c r="E435" s="91"/>
      <c r="F435" s="91"/>
      <c r="G435" s="114"/>
    </row>
    <row r="436" spans="1:7">
      <c r="A436" s="115" t="s">
        <v>2</v>
      </c>
      <c r="B436" s="93" t="s">
        <v>3</v>
      </c>
      <c r="C436" s="135" t="s">
        <v>4</v>
      </c>
      <c r="D436" s="95" t="s">
        <v>5</v>
      </c>
      <c r="E436" s="93" t="s">
        <v>6</v>
      </c>
      <c r="F436" s="93" t="s">
        <v>7</v>
      </c>
      <c r="G436" s="97" t="s">
        <v>8</v>
      </c>
    </row>
    <row r="437" ht="17" spans="1:7">
      <c r="A437" s="115">
        <v>1</v>
      </c>
      <c r="B437" s="281" t="s">
        <v>415</v>
      </c>
      <c r="C437" s="306"/>
      <c r="D437" s="119"/>
      <c r="E437" s="120"/>
      <c r="F437" s="84"/>
      <c r="G437" s="121"/>
    </row>
    <row r="438" ht="34" spans="1:7">
      <c r="A438" s="115">
        <v>2</v>
      </c>
      <c r="B438" s="281" t="s">
        <v>416</v>
      </c>
      <c r="C438" s="306"/>
      <c r="D438" s="119"/>
      <c r="E438" s="120"/>
      <c r="F438" s="84"/>
      <c r="G438" s="121"/>
    </row>
    <row r="439" ht="17" spans="1:7">
      <c r="A439" s="174">
        <v>3</v>
      </c>
      <c r="B439" s="281" t="s">
        <v>417</v>
      </c>
      <c r="C439" s="307"/>
      <c r="D439" s="119"/>
      <c r="E439" s="123"/>
      <c r="F439" s="88"/>
      <c r="G439" s="88"/>
    </row>
    <row r="440" ht="17" spans="1:7">
      <c r="A440" s="174">
        <v>4</v>
      </c>
      <c r="B440" s="281" t="s">
        <v>418</v>
      </c>
      <c r="C440" s="161"/>
      <c r="D440" s="119"/>
      <c r="E440" s="35"/>
      <c r="F440" s="35"/>
      <c r="G440" s="84"/>
    </row>
    <row r="441" ht="34" spans="1:7">
      <c r="A441" s="174">
        <v>5</v>
      </c>
      <c r="B441" s="281" t="s">
        <v>419</v>
      </c>
      <c r="C441" s="89"/>
      <c r="D441" s="89"/>
      <c r="E441" s="89"/>
      <c r="F441" s="89"/>
      <c r="G441" s="89"/>
    </row>
    <row r="442" ht="20.4" spans="1:7">
      <c r="A442" s="72" t="s">
        <v>192</v>
      </c>
      <c r="B442" s="73"/>
      <c r="C442" s="74"/>
      <c r="D442" s="74"/>
      <c r="E442" s="74"/>
      <c r="F442" s="74"/>
      <c r="G442" s="75"/>
    </row>
    <row r="443" spans="1:7">
      <c r="A443" s="92" t="s">
        <v>2</v>
      </c>
      <c r="B443" s="93" t="s">
        <v>3</v>
      </c>
      <c r="C443" s="94" t="s">
        <v>15</v>
      </c>
      <c r="D443" s="95" t="s">
        <v>5</v>
      </c>
      <c r="E443" s="96" t="s">
        <v>16</v>
      </c>
      <c r="F443" s="93" t="s">
        <v>7</v>
      </c>
      <c r="G443" s="97" t="s">
        <v>8</v>
      </c>
    </row>
    <row r="444" ht="17" spans="1:7">
      <c r="A444" s="192">
        <v>1</v>
      </c>
      <c r="B444" s="281" t="s">
        <v>420</v>
      </c>
      <c r="C444" s="307" t="s">
        <v>421</v>
      </c>
      <c r="D444" s="82"/>
      <c r="E444" s="82"/>
      <c r="F444" s="260">
        <v>2</v>
      </c>
      <c r="G444" s="124"/>
    </row>
    <row r="445" ht="51" spans="1:7">
      <c r="A445" s="192">
        <v>2</v>
      </c>
      <c r="B445" s="281" t="s">
        <v>422</v>
      </c>
      <c r="C445" s="308" t="s">
        <v>314</v>
      </c>
      <c r="D445" s="88"/>
      <c r="E445" s="88"/>
      <c r="F445" s="185">
        <v>2</v>
      </c>
      <c r="G445" s="124"/>
    </row>
    <row r="446" ht="34" spans="1:7">
      <c r="A446" s="192">
        <v>3</v>
      </c>
      <c r="B446" s="281" t="s">
        <v>423</v>
      </c>
      <c r="C446" s="308" t="s">
        <v>314</v>
      </c>
      <c r="D446" s="88"/>
      <c r="E446" s="88"/>
      <c r="F446" s="185">
        <v>2</v>
      </c>
      <c r="G446" s="309"/>
    </row>
    <row r="447" ht="17" spans="1:7">
      <c r="A447" s="192">
        <v>4</v>
      </c>
      <c r="B447" s="281" t="s">
        <v>424</v>
      </c>
      <c r="C447" s="308" t="s">
        <v>81</v>
      </c>
      <c r="D447" s="88"/>
      <c r="E447" s="88"/>
      <c r="F447" s="185">
        <v>2</v>
      </c>
      <c r="G447" s="309"/>
    </row>
    <row r="448" ht="20.4" spans="1:7">
      <c r="A448" s="90" t="s">
        <v>21</v>
      </c>
      <c r="B448" s="113"/>
      <c r="C448" s="91"/>
      <c r="D448" s="91"/>
      <c r="E448" s="91"/>
      <c r="F448" s="91"/>
      <c r="G448" s="114"/>
    </row>
    <row r="449" spans="1:7">
      <c r="A449" s="115" t="s">
        <v>2</v>
      </c>
      <c r="B449" s="93" t="s">
        <v>3</v>
      </c>
      <c r="C449" s="94" t="s">
        <v>22</v>
      </c>
      <c r="D449" s="95" t="s">
        <v>5</v>
      </c>
      <c r="E449" s="96" t="s">
        <v>16</v>
      </c>
      <c r="F449" s="93" t="s">
        <v>7</v>
      </c>
      <c r="G449" s="97" t="s">
        <v>8</v>
      </c>
    </row>
    <row r="450" ht="34" spans="1:7">
      <c r="A450" s="104">
        <v>1</v>
      </c>
      <c r="B450" s="281" t="s">
        <v>425</v>
      </c>
      <c r="C450" s="105" t="s">
        <v>81</v>
      </c>
      <c r="D450" s="238"/>
      <c r="E450" s="237"/>
      <c r="F450" s="106">
        <v>8</v>
      </c>
      <c r="G450" s="107"/>
    </row>
    <row r="451" ht="34" spans="1:7">
      <c r="A451" s="104">
        <v>2</v>
      </c>
      <c r="B451" s="281" t="s">
        <v>426</v>
      </c>
      <c r="C451" s="105" t="s">
        <v>427</v>
      </c>
      <c r="D451" s="238"/>
      <c r="E451" s="237"/>
      <c r="F451" s="106">
        <v>8</v>
      </c>
      <c r="G451" s="107"/>
    </row>
    <row r="452" ht="53" spans="1:7">
      <c r="A452" s="104">
        <v>3</v>
      </c>
      <c r="B452" s="281" t="s">
        <v>428</v>
      </c>
      <c r="C452" s="105" t="s">
        <v>429</v>
      </c>
      <c r="D452" s="238"/>
      <c r="E452" s="237"/>
      <c r="F452" s="106">
        <v>10</v>
      </c>
      <c r="G452" s="107" t="s">
        <v>430</v>
      </c>
    </row>
    <row r="453" ht="36" spans="1:7">
      <c r="A453" s="104">
        <v>4</v>
      </c>
      <c r="B453" s="281" t="s">
        <v>431</v>
      </c>
      <c r="C453" s="105" t="s">
        <v>432</v>
      </c>
      <c r="D453" s="238"/>
      <c r="E453" s="237"/>
      <c r="F453" s="106">
        <v>8</v>
      </c>
      <c r="G453" s="107"/>
    </row>
    <row r="454" ht="51" spans="1:7">
      <c r="A454" s="104">
        <v>5</v>
      </c>
      <c r="B454" s="281" t="s">
        <v>433</v>
      </c>
      <c r="C454" s="105" t="s">
        <v>314</v>
      </c>
      <c r="D454" s="238"/>
      <c r="E454" s="237"/>
      <c r="F454" s="106">
        <v>8</v>
      </c>
      <c r="G454" s="107"/>
    </row>
    <row r="455" ht="53" spans="1:7">
      <c r="A455" s="104">
        <v>6</v>
      </c>
      <c r="B455" s="281" t="s">
        <v>434</v>
      </c>
      <c r="C455" s="105" t="s">
        <v>314</v>
      </c>
      <c r="D455" s="132" t="s">
        <v>435</v>
      </c>
      <c r="E455" s="237"/>
      <c r="F455" s="106">
        <v>13</v>
      </c>
      <c r="G455" s="107" t="s">
        <v>19</v>
      </c>
    </row>
    <row r="456" ht="18.35" spans="1:7">
      <c r="A456" s="239" t="s">
        <v>436</v>
      </c>
      <c r="B456" s="108"/>
      <c r="C456" s="240"/>
      <c r="D456" s="241"/>
      <c r="E456" s="242"/>
      <c r="F456" s="243"/>
      <c r="G456" s="244"/>
    </row>
    <row r="457" ht="17.55" spans="1:7">
      <c r="A457" s="83"/>
      <c r="B457" s="82"/>
      <c r="C457" s="83"/>
      <c r="D457" s="83"/>
      <c r="E457" s="83"/>
      <c r="F457" s="83"/>
      <c r="G457" s="83"/>
    </row>
    <row r="458" ht="26" spans="1:7">
      <c r="A458" s="223" t="s">
        <v>437</v>
      </c>
      <c r="B458" s="111"/>
      <c r="C458" s="224"/>
      <c r="D458" s="225"/>
      <c r="E458" s="225"/>
      <c r="F458" s="226"/>
      <c r="G458" s="227"/>
    </row>
    <row r="459" ht="20.4" spans="1:7">
      <c r="A459" s="72" t="s">
        <v>1</v>
      </c>
      <c r="B459" s="73"/>
      <c r="C459" s="74"/>
      <c r="D459" s="74"/>
      <c r="E459" s="74"/>
      <c r="F459" s="74"/>
      <c r="G459" s="75"/>
    </row>
    <row r="460" spans="1:7">
      <c r="A460" s="115" t="s">
        <v>2</v>
      </c>
      <c r="B460" s="93" t="s">
        <v>3</v>
      </c>
      <c r="C460" s="135" t="s">
        <v>4</v>
      </c>
      <c r="D460" s="95" t="s">
        <v>5</v>
      </c>
      <c r="E460" s="93" t="s">
        <v>6</v>
      </c>
      <c r="F460" s="93" t="s">
        <v>7</v>
      </c>
      <c r="G460" s="97" t="s">
        <v>8</v>
      </c>
    </row>
    <row r="461" ht="17" spans="1:7">
      <c r="A461" s="161">
        <v>1</v>
      </c>
      <c r="B461" s="281" t="s">
        <v>438</v>
      </c>
      <c r="C461" s="101"/>
      <c r="D461" s="128"/>
      <c r="E461" s="276"/>
      <c r="F461" s="259"/>
      <c r="G461" s="259"/>
    </row>
    <row r="462" ht="17" spans="1:7">
      <c r="A462" s="161">
        <v>2</v>
      </c>
      <c r="B462" s="281" t="s">
        <v>439</v>
      </c>
      <c r="C462" s="101"/>
      <c r="D462" s="128"/>
      <c r="E462" s="276"/>
      <c r="F462" s="259"/>
      <c r="G462" s="259"/>
    </row>
    <row r="463" ht="17" spans="1:7">
      <c r="A463" s="101">
        <v>3</v>
      </c>
      <c r="B463" s="281" t="s">
        <v>440</v>
      </c>
      <c r="C463" s="101"/>
      <c r="D463" s="128"/>
      <c r="E463" s="310"/>
      <c r="F463" s="101"/>
      <c r="G463" s="101"/>
    </row>
    <row r="464" ht="17" spans="1:7">
      <c r="A464" s="235">
        <v>4</v>
      </c>
      <c r="B464" s="281" t="s">
        <v>441</v>
      </c>
      <c r="C464" s="235"/>
      <c r="D464" s="311"/>
      <c r="E464" s="312"/>
      <c r="F464" s="312"/>
      <c r="G464" s="313"/>
    </row>
    <row r="465" ht="34" spans="1:7">
      <c r="A465" s="101">
        <v>5</v>
      </c>
      <c r="B465" s="281" t="s">
        <v>442</v>
      </c>
      <c r="C465" s="187"/>
      <c r="D465" s="187"/>
      <c r="E465" s="187"/>
      <c r="F465" s="187"/>
      <c r="G465" s="187"/>
    </row>
    <row r="466" ht="20.4" spans="1:7">
      <c r="A466" s="90" t="s">
        <v>67</v>
      </c>
      <c r="B466" s="73"/>
      <c r="C466" s="91"/>
      <c r="D466" s="91"/>
      <c r="E466" s="91"/>
      <c r="F466" s="91"/>
      <c r="G466" s="114"/>
    </row>
    <row r="467" spans="1:7">
      <c r="A467" s="92" t="s">
        <v>2</v>
      </c>
      <c r="B467" s="93" t="s">
        <v>3</v>
      </c>
      <c r="C467" s="94" t="s">
        <v>15</v>
      </c>
      <c r="D467" s="95" t="s">
        <v>5</v>
      </c>
      <c r="E467" s="96" t="s">
        <v>16</v>
      </c>
      <c r="F467" s="93" t="s">
        <v>7</v>
      </c>
      <c r="G467" s="97" t="s">
        <v>8</v>
      </c>
    </row>
    <row r="468" ht="17" spans="1:7">
      <c r="A468" s="314">
        <v>1</v>
      </c>
      <c r="B468" s="281" t="s">
        <v>443</v>
      </c>
      <c r="C468" s="251" t="s">
        <v>81</v>
      </c>
      <c r="D468" s="251"/>
      <c r="E468" s="251"/>
      <c r="F468" s="161">
        <v>2</v>
      </c>
      <c r="G468" s="247"/>
    </row>
    <row r="469" ht="17" spans="1:7">
      <c r="A469" s="314">
        <v>2</v>
      </c>
      <c r="B469" s="281" t="s">
        <v>444</v>
      </c>
      <c r="C469" s="251" t="s">
        <v>81</v>
      </c>
      <c r="D469" s="251"/>
      <c r="E469" s="251"/>
      <c r="F469" s="161">
        <v>2</v>
      </c>
      <c r="G469" s="247"/>
    </row>
    <row r="470" ht="17" spans="1:7">
      <c r="A470" s="314">
        <v>3</v>
      </c>
      <c r="B470" s="281" t="s">
        <v>445</v>
      </c>
      <c r="C470" s="251" t="s">
        <v>446</v>
      </c>
      <c r="D470" s="251"/>
      <c r="E470" s="251"/>
      <c r="F470" s="161">
        <v>2</v>
      </c>
      <c r="G470" s="247"/>
    </row>
    <row r="471" ht="17" spans="1:7">
      <c r="A471" s="314">
        <v>4</v>
      </c>
      <c r="B471" s="281" t="s">
        <v>447</v>
      </c>
      <c r="C471" s="251" t="s">
        <v>83</v>
      </c>
      <c r="D471" s="251"/>
      <c r="E471" s="251"/>
      <c r="F471" s="161">
        <v>2</v>
      </c>
      <c r="G471" s="247"/>
    </row>
    <row r="472" ht="34" spans="1:7">
      <c r="A472" s="314">
        <v>5</v>
      </c>
      <c r="B472" s="281" t="s">
        <v>442</v>
      </c>
      <c r="C472" s="251"/>
      <c r="D472" s="251"/>
      <c r="E472" s="251"/>
      <c r="F472" s="161"/>
      <c r="G472" s="247"/>
    </row>
    <row r="473" ht="17" spans="1:7">
      <c r="A473" s="314">
        <v>6</v>
      </c>
      <c r="B473" s="281" t="s">
        <v>448</v>
      </c>
      <c r="C473" s="161"/>
      <c r="D473" s="161"/>
      <c r="E473" s="161"/>
      <c r="F473" s="161"/>
      <c r="G473" s="88"/>
    </row>
    <row r="474" ht="20.4" spans="1:7">
      <c r="A474" s="72" t="s">
        <v>21</v>
      </c>
      <c r="B474" s="73"/>
      <c r="C474" s="74"/>
      <c r="D474" s="74"/>
      <c r="E474" s="74"/>
      <c r="F474" s="74"/>
      <c r="G474" s="75"/>
    </row>
    <row r="475" spans="1:7">
      <c r="A475" s="261" t="s">
        <v>2</v>
      </c>
      <c r="B475" s="262" t="s">
        <v>3</v>
      </c>
      <c r="C475" s="263" t="s">
        <v>22</v>
      </c>
      <c r="D475" s="264" t="s">
        <v>5</v>
      </c>
      <c r="E475" s="265" t="s">
        <v>16</v>
      </c>
      <c r="F475" s="262" t="s">
        <v>7</v>
      </c>
      <c r="G475" s="266" t="s">
        <v>8</v>
      </c>
    </row>
    <row r="476" ht="36" spans="1:7">
      <c r="A476" s="314">
        <v>1</v>
      </c>
      <c r="B476" s="281" t="s">
        <v>449</v>
      </c>
      <c r="C476" s="108" t="s">
        <v>432</v>
      </c>
      <c r="D476" s="56"/>
      <c r="E476" s="108"/>
      <c r="F476" s="56">
        <v>8</v>
      </c>
      <c r="G476" s="108"/>
    </row>
    <row r="477" ht="18" spans="1:7">
      <c r="A477" s="314">
        <v>2</v>
      </c>
      <c r="B477" s="281" t="s">
        <v>450</v>
      </c>
      <c r="C477" s="108" t="s">
        <v>409</v>
      </c>
      <c r="D477" s="56"/>
      <c r="E477" s="108"/>
      <c r="F477" s="56">
        <v>8</v>
      </c>
      <c r="G477" s="82"/>
    </row>
    <row r="478" ht="17.6" spans="1:7">
      <c r="A478" s="108" t="s">
        <v>451</v>
      </c>
      <c r="B478" s="108"/>
      <c r="C478" s="108"/>
      <c r="D478" s="56"/>
      <c r="E478" s="108"/>
      <c r="F478" s="108"/>
      <c r="G478" s="108"/>
    </row>
    <row r="479" spans="1:7">
      <c r="A479" s="83"/>
      <c r="B479" s="83"/>
      <c r="C479" s="83"/>
      <c r="D479" s="83"/>
      <c r="E479" s="83"/>
      <c r="F479" s="83"/>
      <c r="G479" s="83"/>
    </row>
    <row r="480" ht="17.55" spans="1:7">
      <c r="A480" s="83"/>
      <c r="B480" s="83"/>
      <c r="C480" s="83"/>
      <c r="D480" s="83"/>
      <c r="E480" s="83"/>
      <c r="F480" s="83"/>
      <c r="G480" s="83"/>
    </row>
    <row r="481" ht="26" spans="1:7">
      <c r="A481" s="315" t="s">
        <v>452</v>
      </c>
      <c r="B481" s="316"/>
      <c r="C481" s="317"/>
      <c r="D481" s="318"/>
      <c r="E481" s="318"/>
      <c r="F481" s="319"/>
      <c r="G481" s="320"/>
    </row>
    <row r="482" ht="20.4" spans="1:7">
      <c r="A482" s="72" t="s">
        <v>1</v>
      </c>
      <c r="B482" s="73"/>
      <c r="C482" s="74"/>
      <c r="D482" s="74"/>
      <c r="E482" s="74"/>
      <c r="F482" s="74"/>
      <c r="G482" s="75"/>
    </row>
    <row r="483" spans="1:7">
      <c r="A483" s="115" t="s">
        <v>2</v>
      </c>
      <c r="B483" s="93" t="s">
        <v>3</v>
      </c>
      <c r="C483" s="135" t="s">
        <v>4</v>
      </c>
      <c r="D483" s="95" t="s">
        <v>5</v>
      </c>
      <c r="E483" s="93" t="s">
        <v>6</v>
      </c>
      <c r="F483" s="93" t="s">
        <v>7</v>
      </c>
      <c r="G483" s="97" t="s">
        <v>8</v>
      </c>
    </row>
    <row r="484" ht="18" spans="1:7">
      <c r="A484" s="161">
        <v>1</v>
      </c>
      <c r="B484" s="219" t="s">
        <v>438</v>
      </c>
      <c r="C484" s="101"/>
      <c r="D484" s="128"/>
      <c r="E484" s="276"/>
      <c r="F484" s="259"/>
      <c r="G484" s="259"/>
    </row>
    <row r="485" ht="18" spans="1:7">
      <c r="A485" s="161">
        <v>2</v>
      </c>
      <c r="B485" s="219" t="s">
        <v>439</v>
      </c>
      <c r="C485" s="101"/>
      <c r="D485" s="128"/>
      <c r="E485" s="276"/>
      <c r="F485" s="259"/>
      <c r="G485" s="259"/>
    </row>
    <row r="486" ht="18" spans="1:7">
      <c r="A486" s="101">
        <v>3</v>
      </c>
      <c r="B486" s="219" t="s">
        <v>440</v>
      </c>
      <c r="C486" s="101"/>
      <c r="D486" s="128"/>
      <c r="E486" s="310"/>
      <c r="F486" s="101"/>
      <c r="G486" s="101"/>
    </row>
    <row r="487" ht="18" spans="1:7">
      <c r="A487" s="235">
        <v>4</v>
      </c>
      <c r="B487" s="219" t="s">
        <v>441</v>
      </c>
      <c r="C487" s="235"/>
      <c r="D487" s="311"/>
      <c r="E487" s="312"/>
      <c r="F487" s="312"/>
      <c r="G487" s="313"/>
    </row>
    <row r="488" ht="36" spans="1:7">
      <c r="A488" s="101">
        <v>5</v>
      </c>
      <c r="B488" s="219" t="s">
        <v>442</v>
      </c>
      <c r="C488" s="187"/>
      <c r="D488" s="187"/>
      <c r="E488" s="187"/>
      <c r="F488" s="187"/>
      <c r="G488" s="187"/>
    </row>
    <row r="489" ht="20.4" spans="1:7">
      <c r="A489" s="90" t="s">
        <v>67</v>
      </c>
      <c r="B489" s="73"/>
      <c r="C489" s="91"/>
      <c r="D489" s="91"/>
      <c r="E489" s="91"/>
      <c r="F489" s="91"/>
      <c r="G489" s="114"/>
    </row>
    <row r="490" spans="1:7">
      <c r="A490" s="92" t="s">
        <v>2</v>
      </c>
      <c r="B490" s="93" t="s">
        <v>3</v>
      </c>
      <c r="C490" s="94" t="s">
        <v>15</v>
      </c>
      <c r="D490" s="95" t="s">
        <v>5</v>
      </c>
      <c r="E490" s="96" t="s">
        <v>16</v>
      </c>
      <c r="F490" s="93" t="s">
        <v>7</v>
      </c>
      <c r="G490" s="97" t="s">
        <v>8</v>
      </c>
    </row>
    <row r="491" ht="34" spans="1:7">
      <c r="A491" s="314">
        <v>1</v>
      </c>
      <c r="B491" s="82" t="s">
        <v>453</v>
      </c>
      <c r="C491" s="321" t="s">
        <v>427</v>
      </c>
      <c r="D491" s="41">
        <v>2125</v>
      </c>
      <c r="E491" s="41"/>
      <c r="F491" s="161">
        <v>2</v>
      </c>
      <c r="G491" s="88"/>
    </row>
    <row r="492" ht="17" spans="1:7">
      <c r="A492" s="314">
        <v>2</v>
      </c>
      <c r="B492" s="82" t="s">
        <v>454</v>
      </c>
      <c r="C492" s="321" t="s">
        <v>427</v>
      </c>
      <c r="D492" s="41">
        <v>2599</v>
      </c>
      <c r="E492" s="41"/>
      <c r="F492" s="161">
        <v>2</v>
      </c>
      <c r="G492" s="88"/>
    </row>
    <row r="493" ht="34" spans="1:7">
      <c r="A493" s="314">
        <v>3</v>
      </c>
      <c r="B493" s="82" t="s">
        <v>455</v>
      </c>
      <c r="C493" s="321" t="s">
        <v>446</v>
      </c>
      <c r="D493" s="41">
        <v>417</v>
      </c>
      <c r="E493" s="41"/>
      <c r="F493" s="161">
        <v>2</v>
      </c>
      <c r="G493" s="88"/>
    </row>
    <row r="494" ht="34" spans="1:7">
      <c r="A494" s="314">
        <v>4</v>
      </c>
      <c r="B494" s="82" t="s">
        <v>456</v>
      </c>
      <c r="C494" s="321" t="s">
        <v>446</v>
      </c>
      <c r="D494" s="41">
        <v>412</v>
      </c>
      <c r="E494" s="41"/>
      <c r="F494" s="161">
        <v>2</v>
      </c>
      <c r="G494" s="88"/>
    </row>
    <row r="495" ht="17" spans="1:7">
      <c r="A495" s="314">
        <v>5</v>
      </c>
      <c r="B495" s="82" t="s">
        <v>457</v>
      </c>
      <c r="C495" s="321"/>
      <c r="D495" s="41"/>
      <c r="E495" s="41"/>
      <c r="F495" s="161"/>
      <c r="G495" s="322"/>
    </row>
    <row r="496" ht="34" spans="1:7">
      <c r="A496" s="314">
        <v>6</v>
      </c>
      <c r="B496" s="82" t="s">
        <v>442</v>
      </c>
      <c r="C496" s="321"/>
      <c r="D496" s="41"/>
      <c r="E496" s="41"/>
      <c r="F496" s="161"/>
      <c r="G496" s="89"/>
    </row>
    <row r="497" ht="34" spans="1:7">
      <c r="A497" s="314">
        <v>7</v>
      </c>
      <c r="B497" s="82" t="s">
        <v>458</v>
      </c>
      <c r="C497" s="321" t="s">
        <v>96</v>
      </c>
      <c r="D497" s="41">
        <v>5120</v>
      </c>
      <c r="E497" s="41"/>
      <c r="F497" s="89">
        <v>2</v>
      </c>
      <c r="G497" s="89"/>
    </row>
    <row r="498" ht="20.4" spans="1:7">
      <c r="A498" s="72" t="s">
        <v>21</v>
      </c>
      <c r="B498" s="73"/>
      <c r="C498" s="74"/>
      <c r="D498" s="74"/>
      <c r="E498" s="74"/>
      <c r="F498" s="74"/>
      <c r="G498" s="75"/>
    </row>
    <row r="499" spans="1:7">
      <c r="A499" s="261" t="s">
        <v>2</v>
      </c>
      <c r="B499" s="262" t="s">
        <v>3</v>
      </c>
      <c r="C499" s="263" t="s">
        <v>22</v>
      </c>
      <c r="D499" s="264" t="s">
        <v>5</v>
      </c>
      <c r="E499" s="265" t="s">
        <v>16</v>
      </c>
      <c r="F499" s="262" t="s">
        <v>7</v>
      </c>
      <c r="G499" s="266" t="s">
        <v>8</v>
      </c>
    </row>
    <row r="500" ht="34" spans="1:7">
      <c r="A500" s="314">
        <v>1</v>
      </c>
      <c r="B500" s="82" t="s">
        <v>459</v>
      </c>
      <c r="C500" s="321" t="s">
        <v>432</v>
      </c>
      <c r="D500" s="41">
        <v>1907</v>
      </c>
      <c r="E500" s="41"/>
      <c r="F500" s="161">
        <v>8</v>
      </c>
      <c r="G500" s="323"/>
    </row>
    <row r="501" ht="34" spans="1:7">
      <c r="A501" s="314">
        <v>2</v>
      </c>
      <c r="B501" s="82" t="s">
        <v>460</v>
      </c>
      <c r="C501" s="321" t="s">
        <v>461</v>
      </c>
      <c r="D501" s="41">
        <v>3186</v>
      </c>
      <c r="E501" s="187"/>
      <c r="F501" s="187">
        <v>8</v>
      </c>
      <c r="G501" s="108"/>
    </row>
    <row r="502" ht="17.6" spans="1:7">
      <c r="A502" s="108" t="s">
        <v>462</v>
      </c>
      <c r="B502" s="108"/>
      <c r="C502" s="108"/>
      <c r="D502" s="56"/>
      <c r="E502" s="108"/>
      <c r="F502" s="108"/>
      <c r="G502" s="108"/>
    </row>
    <row r="503" ht="26" spans="1:7">
      <c r="A503" s="147" t="s">
        <v>463</v>
      </c>
      <c r="B503" s="147"/>
      <c r="C503" s="147"/>
      <c r="D503" s="147"/>
      <c r="E503" s="147"/>
      <c r="F503" s="147"/>
      <c r="G503" s="148"/>
    </row>
    <row r="504" ht="20.4" spans="1:7">
      <c r="A504" s="72" t="s">
        <v>1</v>
      </c>
      <c r="B504" s="73"/>
      <c r="C504" s="74"/>
      <c r="D504" s="74"/>
      <c r="E504" s="74"/>
      <c r="F504" s="74"/>
      <c r="G504" s="75"/>
    </row>
    <row r="505" spans="1:7">
      <c r="A505" s="115" t="s">
        <v>2</v>
      </c>
      <c r="B505" s="93" t="s">
        <v>3</v>
      </c>
      <c r="C505" s="135" t="s">
        <v>4</v>
      </c>
      <c r="D505" s="95" t="s">
        <v>5</v>
      </c>
      <c r="E505" s="93" t="s">
        <v>6</v>
      </c>
      <c r="F505" s="93" t="s">
        <v>7</v>
      </c>
      <c r="G505" s="97" t="s">
        <v>8</v>
      </c>
    </row>
    <row r="506" ht="18" spans="1:7">
      <c r="A506" s="314">
        <v>1</v>
      </c>
      <c r="B506" s="32" t="s">
        <v>464</v>
      </c>
      <c r="C506" s="191" t="s">
        <v>465</v>
      </c>
      <c r="D506" s="191">
        <v>7197</v>
      </c>
      <c r="E506" s="120"/>
      <c r="F506" s="84"/>
      <c r="G506" s="121"/>
    </row>
    <row r="507" ht="17.6" spans="1:7">
      <c r="A507" s="314">
        <v>2</v>
      </c>
      <c r="B507" s="191" t="s">
        <v>466</v>
      </c>
      <c r="C507" s="191"/>
      <c r="D507" s="191"/>
      <c r="E507" s="120"/>
      <c r="F507" s="84"/>
      <c r="G507" s="121"/>
    </row>
    <row r="508" ht="17.6" spans="1:7">
      <c r="A508" s="314">
        <v>3</v>
      </c>
      <c r="B508" s="191" t="s">
        <v>467</v>
      </c>
      <c r="C508" s="191"/>
      <c r="D508" s="191"/>
      <c r="E508" s="123"/>
      <c r="F508" s="88"/>
      <c r="G508" s="88"/>
    </row>
    <row r="509" ht="17.6" spans="1:7">
      <c r="A509" s="314">
        <v>4</v>
      </c>
      <c r="B509" s="191" t="s">
        <v>468</v>
      </c>
      <c r="C509" s="191"/>
      <c r="D509" s="191"/>
      <c r="E509" s="35"/>
      <c r="F509" s="35"/>
      <c r="G509" s="84"/>
    </row>
    <row r="510" ht="20.4" spans="1:7">
      <c r="A510" s="314">
        <v>5</v>
      </c>
      <c r="B510" s="324" t="s">
        <v>469</v>
      </c>
      <c r="C510" s="191"/>
      <c r="D510" s="191"/>
      <c r="E510" s="89"/>
      <c r="F510" s="89"/>
      <c r="G510" s="89"/>
    </row>
    <row r="511" ht="20.4" spans="1:7">
      <c r="A511" s="72" t="s">
        <v>79</v>
      </c>
      <c r="B511" s="73"/>
      <c r="C511" s="74"/>
      <c r="D511" s="74"/>
      <c r="E511" s="74"/>
      <c r="F511" s="74"/>
      <c r="G511" s="75"/>
    </row>
    <row r="512" spans="1:7">
      <c r="A512" s="92" t="s">
        <v>2</v>
      </c>
      <c r="B512" s="93" t="s">
        <v>3</v>
      </c>
      <c r="C512" s="94" t="s">
        <v>15</v>
      </c>
      <c r="D512" s="95" t="s">
        <v>5</v>
      </c>
      <c r="E512" s="96" t="s">
        <v>16</v>
      </c>
      <c r="F512" s="93" t="s">
        <v>7</v>
      </c>
      <c r="G512" s="97" t="s">
        <v>8</v>
      </c>
    </row>
    <row r="513" ht="34" spans="1:7">
      <c r="A513" s="161">
        <v>1</v>
      </c>
      <c r="B513" s="82" t="s">
        <v>470</v>
      </c>
      <c r="C513" s="321" t="s">
        <v>427</v>
      </c>
      <c r="D513" s="41">
        <v>2115</v>
      </c>
      <c r="E513" s="161"/>
      <c r="F513" s="161">
        <v>2</v>
      </c>
      <c r="G513" s="82"/>
    </row>
    <row r="514" ht="34" spans="1:7">
      <c r="A514" s="161">
        <v>2</v>
      </c>
      <c r="B514" s="82" t="s">
        <v>471</v>
      </c>
      <c r="C514" s="321" t="s">
        <v>427</v>
      </c>
      <c r="D514" s="41">
        <v>7420</v>
      </c>
      <c r="E514" s="161"/>
      <c r="F514" s="161">
        <v>10</v>
      </c>
      <c r="G514" s="82" t="s">
        <v>173</v>
      </c>
    </row>
    <row r="515" ht="17" spans="1:7">
      <c r="A515" s="161">
        <v>3</v>
      </c>
      <c r="B515" s="41" t="s">
        <v>472</v>
      </c>
      <c r="C515" s="321" t="s">
        <v>99</v>
      </c>
      <c r="D515" s="41">
        <v>58</v>
      </c>
      <c r="E515" s="161"/>
      <c r="F515" s="161" t="s">
        <v>473</v>
      </c>
      <c r="G515" s="82"/>
    </row>
    <row r="516" ht="17" spans="1:7">
      <c r="A516" s="161">
        <v>4</v>
      </c>
      <c r="B516" s="41" t="s">
        <v>474</v>
      </c>
      <c r="C516" s="321" t="s">
        <v>99</v>
      </c>
      <c r="D516" s="41">
        <v>198</v>
      </c>
      <c r="E516" s="161"/>
      <c r="F516" s="161" t="s">
        <v>473</v>
      </c>
      <c r="G516" s="82"/>
    </row>
    <row r="517" ht="20.4" spans="1:7">
      <c r="A517" s="72" t="s">
        <v>21</v>
      </c>
      <c r="B517" s="73"/>
      <c r="C517" s="74"/>
      <c r="D517" s="74"/>
      <c r="E517" s="74"/>
      <c r="F517" s="74"/>
      <c r="G517" s="75"/>
    </row>
    <row r="518" ht="46" spans="1:7">
      <c r="A518" s="161">
        <v>1</v>
      </c>
      <c r="B518" s="82" t="s">
        <v>475</v>
      </c>
      <c r="C518" s="321" t="s">
        <v>476</v>
      </c>
      <c r="D518" s="161" t="s">
        <v>477</v>
      </c>
      <c r="E518" s="88"/>
      <c r="F518" s="161">
        <v>20</v>
      </c>
      <c r="G518" s="88" t="s">
        <v>198</v>
      </c>
    </row>
    <row r="519" ht="34" spans="1:7">
      <c r="A519" s="161">
        <v>2</v>
      </c>
      <c r="B519" s="82" t="s">
        <v>478</v>
      </c>
      <c r="C519" s="321" t="s">
        <v>479</v>
      </c>
      <c r="D519" s="41">
        <v>4613</v>
      </c>
      <c r="E519" s="161"/>
      <c r="F519" s="161">
        <v>8</v>
      </c>
      <c r="G519" s="88"/>
    </row>
    <row r="520" ht="34" spans="1:7">
      <c r="A520" s="161">
        <v>3</v>
      </c>
      <c r="B520" s="82" t="s">
        <v>480</v>
      </c>
      <c r="C520" s="321" t="s">
        <v>43</v>
      </c>
      <c r="D520" s="41">
        <v>3888</v>
      </c>
      <c r="E520" s="101"/>
      <c r="F520" s="101">
        <v>8</v>
      </c>
      <c r="G520" s="89"/>
    </row>
    <row r="521" ht="17.6" spans="1:7">
      <c r="A521" s="161">
        <v>15</v>
      </c>
      <c r="B521" s="188"/>
      <c r="C521" s="108"/>
      <c r="D521" s="161"/>
      <c r="E521" s="161"/>
      <c r="F521" s="161"/>
      <c r="G521" s="108"/>
    </row>
    <row r="522" ht="18.35" spans="1:7">
      <c r="A522" s="239" t="s">
        <v>481</v>
      </c>
      <c r="B522" s="108"/>
      <c r="C522" s="240"/>
      <c r="D522" s="241"/>
      <c r="E522" s="242"/>
      <c r="F522" s="243"/>
      <c r="G522" s="244"/>
    </row>
    <row r="523" ht="17.55" spans="1:7">
      <c r="A523" s="83"/>
      <c r="B523" s="82"/>
      <c r="C523" s="83"/>
      <c r="D523" s="83"/>
      <c r="E523" s="83"/>
      <c r="F523" s="83"/>
      <c r="G523" s="83"/>
    </row>
    <row r="524" ht="26" spans="1:7">
      <c r="A524" s="214" t="s">
        <v>482</v>
      </c>
      <c r="B524" s="147"/>
      <c r="C524" s="215"/>
      <c r="D524" s="216"/>
      <c r="E524" s="216"/>
      <c r="F524" s="217"/>
      <c r="G524" s="218"/>
    </row>
    <row r="525" ht="20.4" spans="1:7">
      <c r="A525" s="72" t="s">
        <v>1</v>
      </c>
      <c r="B525" s="73"/>
      <c r="C525" s="74"/>
      <c r="D525" s="74"/>
      <c r="E525" s="74"/>
      <c r="F525" s="74"/>
      <c r="G525" s="75"/>
    </row>
    <row r="526" spans="1:7">
      <c r="A526" s="115" t="s">
        <v>2</v>
      </c>
      <c r="B526" s="93" t="s">
        <v>3</v>
      </c>
      <c r="C526" s="135" t="s">
        <v>4</v>
      </c>
      <c r="D526" s="95" t="s">
        <v>5</v>
      </c>
      <c r="E526" s="93" t="s">
        <v>6</v>
      </c>
      <c r="F526" s="93" t="s">
        <v>7</v>
      </c>
      <c r="G526" s="97" t="s">
        <v>8</v>
      </c>
    </row>
    <row r="527" ht="17.6" spans="1:7">
      <c r="A527" s="314">
        <v>1</v>
      </c>
      <c r="B527" s="32" t="s">
        <v>483</v>
      </c>
      <c r="C527" s="325" t="s">
        <v>327</v>
      </c>
      <c r="D527" s="191">
        <v>6715</v>
      </c>
      <c r="E527" s="120"/>
      <c r="F527" s="84"/>
      <c r="G527" s="121"/>
    </row>
    <row r="528" ht="17.6" spans="1:7">
      <c r="A528" s="314">
        <v>2</v>
      </c>
      <c r="B528" s="191" t="s">
        <v>484</v>
      </c>
      <c r="C528" s="191"/>
      <c r="D528" s="191"/>
      <c r="E528" s="120"/>
      <c r="F528" s="84"/>
      <c r="G528" s="121"/>
    </row>
    <row r="529" ht="17.6" spans="1:7">
      <c r="A529" s="326">
        <v>3</v>
      </c>
      <c r="B529" s="191" t="s">
        <v>485</v>
      </c>
      <c r="C529" s="191"/>
      <c r="D529" s="191"/>
      <c r="E529" s="171"/>
      <c r="F529" s="88"/>
      <c r="G529" s="124"/>
    </row>
    <row r="530" ht="17.6" spans="1:7">
      <c r="A530" s="327">
        <v>4</v>
      </c>
      <c r="B530" s="191" t="s">
        <v>486</v>
      </c>
      <c r="C530" s="191"/>
      <c r="D530" s="191"/>
      <c r="E530" s="328"/>
      <c r="F530" s="83"/>
      <c r="G530" s="329"/>
    </row>
    <row r="531" ht="20.4" spans="1:7">
      <c r="A531" s="327">
        <v>5</v>
      </c>
      <c r="B531" s="191" t="s">
        <v>487</v>
      </c>
      <c r="C531" s="191"/>
      <c r="D531" s="191"/>
      <c r="E531" s="89"/>
      <c r="F531" s="89"/>
      <c r="G531" s="89"/>
    </row>
    <row r="532" ht="20.4" spans="1:7">
      <c r="A532" s="327">
        <v>6</v>
      </c>
      <c r="B532" s="191" t="s">
        <v>488</v>
      </c>
      <c r="C532" s="191"/>
      <c r="D532" s="191"/>
      <c r="E532" s="89"/>
      <c r="F532" s="89"/>
      <c r="G532" s="89"/>
    </row>
    <row r="533" ht="20.4" spans="1:7">
      <c r="A533" s="327">
        <v>7</v>
      </c>
      <c r="B533" s="191" t="s">
        <v>489</v>
      </c>
      <c r="C533" s="191" t="s">
        <v>210</v>
      </c>
      <c r="D533" s="191"/>
      <c r="E533" s="89"/>
      <c r="F533" s="89"/>
      <c r="G533" s="89"/>
    </row>
    <row r="534" ht="20.4" spans="1:7">
      <c r="A534" s="90" t="s">
        <v>490</v>
      </c>
      <c r="B534" s="113"/>
      <c r="C534" s="91"/>
      <c r="D534" s="91"/>
      <c r="E534" s="91"/>
      <c r="F534" s="91"/>
      <c r="G534" s="114"/>
    </row>
    <row r="535" spans="1:7">
      <c r="A535" s="92" t="s">
        <v>2</v>
      </c>
      <c r="B535" s="93" t="s">
        <v>3</v>
      </c>
      <c r="C535" s="94" t="s">
        <v>15</v>
      </c>
      <c r="D535" s="95" t="s">
        <v>5</v>
      </c>
      <c r="E535" s="96" t="s">
        <v>16</v>
      </c>
      <c r="F535" s="93" t="s">
        <v>7</v>
      </c>
      <c r="G535" s="97" t="s">
        <v>8</v>
      </c>
    </row>
    <row r="536" ht="20.4" spans="1:7">
      <c r="A536" s="314">
        <v>1</v>
      </c>
      <c r="B536" s="82"/>
      <c r="C536" s="83"/>
      <c r="D536" s="83"/>
      <c r="E536" s="83"/>
      <c r="F536" s="83"/>
      <c r="G536" s="89"/>
    </row>
    <row r="537" ht="34" spans="1:7">
      <c r="A537" s="314">
        <v>2</v>
      </c>
      <c r="B537" s="82" t="s">
        <v>491</v>
      </c>
      <c r="C537" s="321" t="s">
        <v>427</v>
      </c>
      <c r="D537" s="41">
        <v>2070</v>
      </c>
      <c r="E537" s="89"/>
      <c r="F537" s="89">
        <v>2</v>
      </c>
      <c r="G537" s="89"/>
    </row>
    <row r="538" ht="34" spans="1:7">
      <c r="A538" s="314">
        <v>3</v>
      </c>
      <c r="B538" s="82" t="s">
        <v>492</v>
      </c>
      <c r="C538" s="321" t="s">
        <v>91</v>
      </c>
      <c r="D538" s="41">
        <v>883</v>
      </c>
      <c r="E538" s="89"/>
      <c r="F538" s="89">
        <v>2</v>
      </c>
      <c r="G538" s="89"/>
    </row>
    <row r="539" ht="34" spans="1:7">
      <c r="A539" s="314">
        <v>4</v>
      </c>
      <c r="B539" s="82" t="s">
        <v>493</v>
      </c>
      <c r="C539" s="321" t="s">
        <v>91</v>
      </c>
      <c r="D539" s="41">
        <v>1237</v>
      </c>
      <c r="E539" s="89"/>
      <c r="F539" s="89">
        <v>2</v>
      </c>
      <c r="G539" s="89"/>
    </row>
    <row r="540" ht="62" spans="1:7">
      <c r="A540" s="314">
        <v>5</v>
      </c>
      <c r="B540" s="82" t="s">
        <v>494</v>
      </c>
      <c r="C540" s="321" t="s">
        <v>81</v>
      </c>
      <c r="D540" s="41">
        <v>91213</v>
      </c>
      <c r="E540" s="89"/>
      <c r="F540" s="89">
        <v>10</v>
      </c>
      <c r="G540" s="89" t="s">
        <v>60</v>
      </c>
    </row>
    <row r="541" ht="51" spans="1:7">
      <c r="A541" s="314">
        <v>6</v>
      </c>
      <c r="B541" s="82" t="s">
        <v>495</v>
      </c>
      <c r="C541" s="321" t="s">
        <v>81</v>
      </c>
      <c r="D541" s="41">
        <v>889</v>
      </c>
      <c r="E541" s="89"/>
      <c r="F541" s="187">
        <v>2</v>
      </c>
      <c r="G541" s="89"/>
    </row>
    <row r="542" ht="20.4" spans="1:7">
      <c r="A542" s="72" t="s">
        <v>21</v>
      </c>
      <c r="B542" s="73"/>
      <c r="C542" s="74"/>
      <c r="D542" s="74"/>
      <c r="E542" s="74"/>
      <c r="F542" s="74"/>
      <c r="G542" s="75"/>
    </row>
    <row r="543" spans="1:7">
      <c r="A543" s="92" t="s">
        <v>2</v>
      </c>
      <c r="B543" s="93" t="s">
        <v>3</v>
      </c>
      <c r="C543" s="94" t="s">
        <v>22</v>
      </c>
      <c r="D543" s="95" t="s">
        <v>5</v>
      </c>
      <c r="E543" s="96" t="s">
        <v>16</v>
      </c>
      <c r="F543" s="93" t="s">
        <v>7</v>
      </c>
      <c r="G543" s="97" t="s">
        <v>8</v>
      </c>
    </row>
    <row r="544" ht="34" spans="1:7">
      <c r="A544" s="104">
        <v>1</v>
      </c>
      <c r="B544" s="82" t="s">
        <v>496</v>
      </c>
      <c r="C544" s="321" t="s">
        <v>479</v>
      </c>
      <c r="D544" s="41">
        <v>1395</v>
      </c>
      <c r="E544" s="237"/>
      <c r="F544" s="106">
        <v>8</v>
      </c>
      <c r="G544" s="107"/>
    </row>
    <row r="545" ht="34" spans="1:7">
      <c r="A545" s="104">
        <v>2</v>
      </c>
      <c r="B545" s="82" t="s">
        <v>497</v>
      </c>
      <c r="C545" s="321" t="s">
        <v>461</v>
      </c>
      <c r="D545" s="41">
        <v>1609</v>
      </c>
      <c r="E545" s="108"/>
      <c r="F545" s="56">
        <v>8</v>
      </c>
      <c r="G545" s="107"/>
    </row>
    <row r="546" ht="34" spans="1:7">
      <c r="A546" s="104">
        <v>3</v>
      </c>
      <c r="B546" s="82" t="s">
        <v>498</v>
      </c>
      <c r="C546" s="321" t="s">
        <v>476</v>
      </c>
      <c r="D546" s="41">
        <v>10964</v>
      </c>
      <c r="E546" s="108"/>
      <c r="F546" s="56">
        <v>8</v>
      </c>
      <c r="G546" s="107"/>
    </row>
    <row r="547" ht="53" spans="1:7">
      <c r="A547" s="104">
        <v>4</v>
      </c>
      <c r="B547" s="82" t="s">
        <v>499</v>
      </c>
      <c r="C547" s="321" t="s">
        <v>500</v>
      </c>
      <c r="D547" s="42" t="s">
        <v>501</v>
      </c>
      <c r="E547" s="237"/>
      <c r="F547" s="106">
        <v>16</v>
      </c>
      <c r="G547" s="107" t="s">
        <v>60</v>
      </c>
    </row>
    <row r="548" ht="20.4" spans="1:7">
      <c r="A548" s="104">
        <v>5</v>
      </c>
      <c r="B548" s="82" t="s">
        <v>502</v>
      </c>
      <c r="C548" s="321" t="s">
        <v>461</v>
      </c>
      <c r="D548" s="41">
        <v>591</v>
      </c>
      <c r="E548" s="89"/>
      <c r="F548" s="187">
        <v>8</v>
      </c>
      <c r="G548" s="107"/>
    </row>
    <row r="549" ht="34" spans="1:7">
      <c r="A549" s="104">
        <v>6</v>
      </c>
      <c r="B549" s="82" t="s">
        <v>503</v>
      </c>
      <c r="C549" s="321" t="s">
        <v>461</v>
      </c>
      <c r="D549" s="41">
        <v>1949</v>
      </c>
      <c r="E549" s="237"/>
      <c r="F549" s="142">
        <v>8</v>
      </c>
      <c r="G549" s="107"/>
    </row>
    <row r="550" ht="34" spans="1:7">
      <c r="A550" s="104">
        <v>7</v>
      </c>
      <c r="B550" s="82" t="s">
        <v>504</v>
      </c>
      <c r="C550" s="321" t="s">
        <v>461</v>
      </c>
      <c r="D550" s="41">
        <v>1448</v>
      </c>
      <c r="E550" s="237"/>
      <c r="F550" s="142">
        <v>8</v>
      </c>
      <c r="G550" s="107"/>
    </row>
    <row r="551" ht="18.35" spans="1:7">
      <c r="A551" s="239" t="s">
        <v>505</v>
      </c>
      <c r="B551" s="108"/>
      <c r="C551" s="240"/>
      <c r="D551" s="241"/>
      <c r="E551" s="242"/>
      <c r="F551" s="243"/>
      <c r="G551" s="244"/>
    </row>
    <row r="552" spans="1:7">
      <c r="A552" s="83"/>
      <c r="B552" s="82"/>
      <c r="C552" s="83"/>
      <c r="D552" s="83"/>
      <c r="E552" s="83"/>
      <c r="F552" s="83"/>
      <c r="G552" s="83"/>
    </row>
    <row r="553" ht="17.55" spans="1:7">
      <c r="A553" s="83"/>
      <c r="B553" s="82"/>
      <c r="C553" s="83"/>
      <c r="D553" s="83"/>
      <c r="E553" s="83"/>
      <c r="F553" s="83"/>
      <c r="G553" s="83"/>
    </row>
    <row r="554" ht="26" spans="1:7">
      <c r="A554" s="223" t="s">
        <v>506</v>
      </c>
      <c r="B554" s="111"/>
      <c r="C554" s="224"/>
      <c r="D554" s="225"/>
      <c r="E554" s="225"/>
      <c r="F554" s="226"/>
      <c r="G554" s="227"/>
    </row>
    <row r="555" ht="20.4" spans="1:7">
      <c r="A555" s="72" t="s">
        <v>159</v>
      </c>
      <c r="B555" s="73"/>
      <c r="C555" s="74"/>
      <c r="D555" s="74"/>
      <c r="E555" s="74"/>
      <c r="F555" s="74"/>
      <c r="G555" s="75"/>
    </row>
    <row r="556" spans="1:7">
      <c r="A556" s="115" t="s">
        <v>2</v>
      </c>
      <c r="B556" s="93" t="s">
        <v>3</v>
      </c>
      <c r="C556" s="135" t="s">
        <v>4</v>
      </c>
      <c r="D556" s="95" t="s">
        <v>5</v>
      </c>
      <c r="E556" s="93" t="s">
        <v>6</v>
      </c>
      <c r="F556" s="93" t="s">
        <v>7</v>
      </c>
      <c r="G556" s="97" t="s">
        <v>8</v>
      </c>
    </row>
    <row r="557" ht="36" spans="1:7">
      <c r="A557" s="131">
        <v>1</v>
      </c>
      <c r="B557" s="219" t="s">
        <v>507</v>
      </c>
      <c r="C557" s="191"/>
      <c r="D557" s="191"/>
      <c r="E557" s="330"/>
      <c r="F557" s="331"/>
      <c r="G557" s="329"/>
    </row>
    <row r="558" ht="18" spans="1:7">
      <c r="A558" s="332">
        <v>2</v>
      </c>
      <c r="B558" s="219" t="s">
        <v>508</v>
      </c>
      <c r="C558" s="191"/>
      <c r="D558" s="191"/>
      <c r="E558" s="168"/>
      <c r="F558" s="277"/>
      <c r="G558" s="277"/>
    </row>
    <row r="559" ht="36" spans="1:7">
      <c r="A559" s="332">
        <v>3</v>
      </c>
      <c r="B559" s="219" t="s">
        <v>509</v>
      </c>
      <c r="C559" s="191"/>
      <c r="D559" s="191"/>
      <c r="E559" s="171"/>
      <c r="F559" s="88"/>
      <c r="G559" s="88"/>
    </row>
    <row r="560" ht="18" spans="1:7">
      <c r="A560" s="122">
        <v>4</v>
      </c>
      <c r="B560" s="219" t="s">
        <v>510</v>
      </c>
      <c r="C560" s="191"/>
      <c r="D560" s="191"/>
      <c r="E560" s="231"/>
      <c r="F560" s="231"/>
      <c r="G560" s="229"/>
    </row>
    <row r="561" ht="18" spans="1:7">
      <c r="A561" s="125">
        <v>5</v>
      </c>
      <c r="B561" s="219" t="s">
        <v>511</v>
      </c>
      <c r="C561" s="191"/>
      <c r="D561" s="191"/>
      <c r="E561" s="187"/>
      <c r="F561" s="187"/>
      <c r="G561" s="187"/>
    </row>
    <row r="562" ht="20.4" spans="1:7">
      <c r="A562" s="125">
        <v>6</v>
      </c>
      <c r="B562" s="219" t="s">
        <v>512</v>
      </c>
      <c r="C562" s="191"/>
      <c r="D562" s="191"/>
      <c r="E562" s="89"/>
      <c r="F562" s="89"/>
      <c r="G562" s="89"/>
    </row>
    <row r="563" ht="20.4" spans="1:7">
      <c r="A563" s="125">
        <v>7</v>
      </c>
      <c r="B563" s="219" t="s">
        <v>513</v>
      </c>
      <c r="C563" s="191"/>
      <c r="D563" s="191"/>
      <c r="E563" s="89"/>
      <c r="F563" s="89"/>
      <c r="G563" s="89"/>
    </row>
    <row r="564" ht="20.4" spans="1:7">
      <c r="A564" s="125">
        <v>8</v>
      </c>
      <c r="B564" s="219" t="s">
        <v>514</v>
      </c>
      <c r="C564" s="191"/>
      <c r="D564" s="191"/>
      <c r="E564" s="89"/>
      <c r="F564" s="89"/>
      <c r="G564" s="89"/>
    </row>
    <row r="565" ht="20.4" spans="1:7">
      <c r="A565" s="72" t="s">
        <v>515</v>
      </c>
      <c r="B565" s="73"/>
      <c r="C565" s="74"/>
      <c r="D565" s="74"/>
      <c r="E565" s="74"/>
      <c r="F565" s="74"/>
      <c r="G565" s="75"/>
    </row>
    <row r="566" spans="1:7">
      <c r="A566" s="92" t="s">
        <v>2</v>
      </c>
      <c r="B566" s="93" t="s">
        <v>3</v>
      </c>
      <c r="C566" s="94" t="s">
        <v>15</v>
      </c>
      <c r="D566" s="95" t="s">
        <v>5</v>
      </c>
      <c r="E566" s="96" t="s">
        <v>16</v>
      </c>
      <c r="F566" s="93" t="s">
        <v>7</v>
      </c>
      <c r="G566" s="97" t="s">
        <v>8</v>
      </c>
    </row>
    <row r="567" ht="34" spans="1:7">
      <c r="A567" s="314">
        <v>1</v>
      </c>
      <c r="B567" s="82" t="s">
        <v>516</v>
      </c>
      <c r="C567" s="321" t="s">
        <v>427</v>
      </c>
      <c r="D567" s="41">
        <v>906</v>
      </c>
      <c r="E567" s="89"/>
      <c r="F567" s="267">
        <v>2</v>
      </c>
      <c r="G567" s="89"/>
    </row>
    <row r="568" ht="51" spans="1:7">
      <c r="A568" s="314">
        <v>2</v>
      </c>
      <c r="B568" s="333" t="s">
        <v>517</v>
      </c>
      <c r="C568" s="334" t="s">
        <v>421</v>
      </c>
      <c r="D568" s="36">
        <v>661</v>
      </c>
      <c r="E568" s="88"/>
      <c r="F568" s="335">
        <v>2</v>
      </c>
      <c r="G568" s="187"/>
    </row>
    <row r="569" ht="34" spans="1:7">
      <c r="A569" s="89"/>
      <c r="B569" s="333" t="s">
        <v>518</v>
      </c>
      <c r="C569" s="334" t="s">
        <v>427</v>
      </c>
      <c r="D569" s="63">
        <v>1476</v>
      </c>
      <c r="E569" s="89"/>
      <c r="F569" s="267">
        <v>10</v>
      </c>
      <c r="G569" s="187" t="s">
        <v>173</v>
      </c>
    </row>
    <row r="570" ht="20.4" spans="1:7">
      <c r="A570" s="72" t="s">
        <v>21</v>
      </c>
      <c r="B570" s="73"/>
      <c r="C570" s="74"/>
      <c r="D570" s="74"/>
      <c r="E570" s="74"/>
      <c r="F570" s="74"/>
      <c r="G570" s="75"/>
    </row>
    <row r="571" spans="1:7">
      <c r="A571" s="92" t="s">
        <v>2</v>
      </c>
      <c r="B571" s="93" t="s">
        <v>3</v>
      </c>
      <c r="C571" s="94" t="s">
        <v>22</v>
      </c>
      <c r="D571" s="95" t="s">
        <v>5</v>
      </c>
      <c r="E571" s="96" t="s">
        <v>16</v>
      </c>
      <c r="F571" s="93" t="s">
        <v>7</v>
      </c>
      <c r="G571" s="97" t="s">
        <v>210</v>
      </c>
    </row>
    <row r="572" ht="53" spans="1:7">
      <c r="A572" s="104">
        <v>1</v>
      </c>
      <c r="B572" s="333" t="s">
        <v>519</v>
      </c>
      <c r="C572" s="334" t="s">
        <v>520</v>
      </c>
      <c r="D572" s="36" t="s">
        <v>113</v>
      </c>
      <c r="E572" s="237"/>
      <c r="F572" s="106">
        <v>16</v>
      </c>
      <c r="G572" s="107" t="s">
        <v>60</v>
      </c>
    </row>
    <row r="573" ht="51" spans="1:7">
      <c r="A573" s="104">
        <v>2</v>
      </c>
      <c r="B573" s="333" t="s">
        <v>521</v>
      </c>
      <c r="C573" s="334" t="s">
        <v>520</v>
      </c>
      <c r="D573" s="36" t="s">
        <v>522</v>
      </c>
      <c r="E573" s="237"/>
      <c r="F573" s="106">
        <v>8</v>
      </c>
      <c r="G573" s="107"/>
    </row>
    <row r="574" ht="34" spans="1:7">
      <c r="A574" s="104">
        <v>3</v>
      </c>
      <c r="B574" s="333" t="s">
        <v>523</v>
      </c>
      <c r="C574" s="334" t="s">
        <v>524</v>
      </c>
      <c r="D574" s="36">
        <v>2618</v>
      </c>
      <c r="E574" s="237"/>
      <c r="F574" s="106">
        <v>8</v>
      </c>
      <c r="G574" s="107"/>
    </row>
    <row r="575" ht="34" spans="1:7">
      <c r="A575" s="104">
        <v>4</v>
      </c>
      <c r="B575" s="333" t="s">
        <v>525</v>
      </c>
      <c r="C575" s="334" t="s">
        <v>526</v>
      </c>
      <c r="D575" s="36">
        <v>2615</v>
      </c>
      <c r="E575" s="237"/>
      <c r="F575" s="106">
        <v>8</v>
      </c>
      <c r="G575" s="107"/>
    </row>
    <row r="576" ht="17.6" spans="1:7">
      <c r="A576" s="104">
        <v>5</v>
      </c>
      <c r="B576" s="333" t="s">
        <v>527</v>
      </c>
      <c r="C576" s="334"/>
      <c r="D576" s="36"/>
      <c r="E576" s="108"/>
      <c r="F576" s="56"/>
      <c r="G576" s="107"/>
    </row>
    <row r="577" ht="34" spans="1:7">
      <c r="A577" s="104">
        <v>6</v>
      </c>
      <c r="B577" s="333" t="s">
        <v>528</v>
      </c>
      <c r="C577" s="334" t="s">
        <v>524</v>
      </c>
      <c r="D577" s="36">
        <v>2111</v>
      </c>
      <c r="E577" s="108"/>
      <c r="F577" s="56">
        <v>8</v>
      </c>
      <c r="G577" s="108"/>
    </row>
    <row r="578" ht="34" spans="1:7">
      <c r="A578" s="104">
        <v>7</v>
      </c>
      <c r="B578" s="333" t="s">
        <v>529</v>
      </c>
      <c r="C578" s="334" t="s">
        <v>524</v>
      </c>
      <c r="D578" s="36">
        <v>2673</v>
      </c>
      <c r="E578" s="108"/>
      <c r="F578" s="56">
        <v>8</v>
      </c>
      <c r="G578" s="108"/>
    </row>
    <row r="579" ht="18.35" spans="1:7">
      <c r="A579" s="239" t="s">
        <v>114</v>
      </c>
      <c r="B579" s="108"/>
      <c r="C579" s="240"/>
      <c r="D579" s="241"/>
      <c r="E579" s="242"/>
      <c r="F579" s="243"/>
      <c r="G579" s="244"/>
    </row>
    <row r="580" spans="1:7">
      <c r="A580" s="83"/>
      <c r="B580" s="82"/>
      <c r="C580" s="83"/>
      <c r="D580" s="83"/>
      <c r="E580" s="83"/>
      <c r="F580" s="83"/>
      <c r="G580" s="83"/>
    </row>
    <row r="581" ht="17.55" spans="1:7">
      <c r="A581" s="83"/>
      <c r="B581" s="82"/>
      <c r="C581" s="83"/>
      <c r="D581" s="83"/>
      <c r="E581" s="83"/>
      <c r="F581" s="83"/>
      <c r="G581" s="83"/>
    </row>
    <row r="582" ht="26" spans="1:7">
      <c r="A582" s="223" t="s">
        <v>530</v>
      </c>
      <c r="B582" s="111"/>
      <c r="C582" s="224"/>
      <c r="D582" s="225"/>
      <c r="E582" s="225"/>
      <c r="F582" s="226"/>
      <c r="G582" s="227"/>
    </row>
    <row r="583" ht="20.4" spans="1:7">
      <c r="A583" s="72" t="s">
        <v>1</v>
      </c>
      <c r="B583" s="73"/>
      <c r="C583" s="74"/>
      <c r="D583" s="74"/>
      <c r="E583" s="74"/>
      <c r="F583" s="74"/>
      <c r="G583" s="75"/>
    </row>
    <row r="584" spans="1:7">
      <c r="A584" s="115" t="s">
        <v>2</v>
      </c>
      <c r="B584" s="93" t="s">
        <v>3</v>
      </c>
      <c r="C584" s="135" t="s">
        <v>4</v>
      </c>
      <c r="D584" s="95" t="s">
        <v>5</v>
      </c>
      <c r="E584" s="93" t="s">
        <v>6</v>
      </c>
      <c r="F584" s="93" t="s">
        <v>7</v>
      </c>
      <c r="G584" s="97" t="s">
        <v>8</v>
      </c>
    </row>
    <row r="585" ht="20.4" spans="1:7">
      <c r="A585" s="327">
        <v>1</v>
      </c>
      <c r="B585" s="219" t="s">
        <v>531</v>
      </c>
      <c r="C585" s="191"/>
      <c r="D585" s="191"/>
      <c r="E585" s="336"/>
      <c r="F585" s="336"/>
      <c r="G585" s="121"/>
    </row>
    <row r="586" ht="20.4" spans="1:7">
      <c r="A586" s="327">
        <v>2</v>
      </c>
      <c r="B586" s="219" t="s">
        <v>532</v>
      </c>
      <c r="C586" s="191"/>
      <c r="D586" s="191"/>
      <c r="E586" s="336"/>
      <c r="F586" s="336"/>
      <c r="G586" s="121"/>
    </row>
    <row r="587" ht="36" spans="1:7">
      <c r="A587" s="101">
        <v>3</v>
      </c>
      <c r="B587" s="219" t="s">
        <v>533</v>
      </c>
      <c r="C587" s="191"/>
      <c r="D587" s="191"/>
      <c r="E587" s="336"/>
      <c r="F587" s="336"/>
      <c r="G587" s="337"/>
    </row>
    <row r="588" ht="20.4" spans="1:7">
      <c r="A588" s="101">
        <v>4</v>
      </c>
      <c r="B588" s="219" t="s">
        <v>534</v>
      </c>
      <c r="C588" s="191"/>
      <c r="D588" s="191"/>
      <c r="E588" s="336"/>
      <c r="F588" s="336"/>
      <c r="G588" s="337"/>
    </row>
    <row r="589" ht="18" spans="1:7">
      <c r="A589" s="101">
        <v>5</v>
      </c>
      <c r="B589" s="219" t="s">
        <v>535</v>
      </c>
      <c r="C589" s="191"/>
      <c r="D589" s="191"/>
      <c r="E589" s="123"/>
      <c r="F589" s="88"/>
      <c r="G589" s="338"/>
    </row>
    <row r="590" ht="20.4" spans="1:7">
      <c r="A590" s="101">
        <v>6</v>
      </c>
      <c r="B590" s="219" t="s">
        <v>536</v>
      </c>
      <c r="C590" s="191"/>
      <c r="D590" s="191"/>
      <c r="E590" s="89"/>
      <c r="F590" s="89"/>
      <c r="G590" s="173"/>
    </row>
    <row r="591" ht="20.4" spans="1:7">
      <c r="A591" s="101">
        <v>7</v>
      </c>
      <c r="B591" s="219" t="s">
        <v>537</v>
      </c>
      <c r="C591" s="191"/>
      <c r="D591" s="191"/>
      <c r="E591" s="89"/>
      <c r="F591" s="89"/>
      <c r="G591" s="74"/>
    </row>
    <row r="592" ht="20.4" spans="1:7">
      <c r="A592" s="72" t="s">
        <v>515</v>
      </c>
      <c r="B592" s="73"/>
      <c r="C592" s="74"/>
      <c r="D592" s="74"/>
      <c r="E592" s="74"/>
      <c r="F592" s="74"/>
      <c r="G592" s="75"/>
    </row>
    <row r="593" spans="1:7">
      <c r="A593" s="92" t="s">
        <v>2</v>
      </c>
      <c r="B593" s="93" t="s">
        <v>3</v>
      </c>
      <c r="C593" s="94" t="s">
        <v>22</v>
      </c>
      <c r="D593" s="95" t="s">
        <v>5</v>
      </c>
      <c r="E593" s="96" t="s">
        <v>16</v>
      </c>
      <c r="F593" s="93" t="s">
        <v>7</v>
      </c>
      <c r="G593" s="82"/>
    </row>
    <row r="594" ht="34" spans="1:7">
      <c r="A594" s="339">
        <v>1</v>
      </c>
      <c r="B594" s="82" t="s">
        <v>538</v>
      </c>
      <c r="C594" s="321" t="s">
        <v>81</v>
      </c>
      <c r="D594" s="41">
        <v>3354</v>
      </c>
      <c r="E594" s="88"/>
      <c r="F594" s="185">
        <v>2</v>
      </c>
      <c r="G594" s="258"/>
    </row>
    <row r="595" ht="34" spans="1:7">
      <c r="A595" s="98">
        <v>2</v>
      </c>
      <c r="B595" s="83" t="s">
        <v>539</v>
      </c>
      <c r="C595" s="340" t="s">
        <v>81</v>
      </c>
      <c r="D595" s="41">
        <v>3584</v>
      </c>
      <c r="E595" s="341"/>
      <c r="F595" s="267">
        <v>2</v>
      </c>
      <c r="G595" s="89"/>
    </row>
    <row r="596" ht="20.4" spans="1:7">
      <c r="A596" s="72" t="s">
        <v>21</v>
      </c>
      <c r="B596" s="73"/>
      <c r="C596" s="74"/>
      <c r="D596" s="74"/>
      <c r="E596" s="74"/>
      <c r="F596" s="74"/>
      <c r="G596" s="75"/>
    </row>
    <row r="597" ht="17.6" spans="1:7">
      <c r="A597" s="261" t="s">
        <v>2</v>
      </c>
      <c r="B597" s="262" t="s">
        <v>3</v>
      </c>
      <c r="C597" s="263" t="s">
        <v>22</v>
      </c>
      <c r="D597" s="264" t="s">
        <v>5</v>
      </c>
      <c r="E597" s="265" t="s">
        <v>16</v>
      </c>
      <c r="F597" s="262" t="s">
        <v>7</v>
      </c>
      <c r="G597" s="107"/>
    </row>
    <row r="598" ht="18.35" spans="1:7">
      <c r="A598" s="239" t="s">
        <v>540</v>
      </c>
      <c r="B598" s="108"/>
      <c r="C598" s="240"/>
      <c r="D598" s="241"/>
      <c r="E598" s="242"/>
      <c r="F598" s="243"/>
      <c r="G598" s="244"/>
    </row>
    <row r="599" ht="17.55" spans="1:7">
      <c r="A599" s="83"/>
      <c r="B599" s="82"/>
      <c r="C599" s="83"/>
      <c r="D599" s="83"/>
      <c r="E599" s="83"/>
      <c r="F599" s="83"/>
      <c r="G599" s="83"/>
    </row>
    <row r="600" ht="26" spans="1:7">
      <c r="A600" s="223" t="s">
        <v>541</v>
      </c>
      <c r="B600" s="111"/>
      <c r="C600" s="224"/>
      <c r="D600" s="225"/>
      <c r="E600" s="225"/>
      <c r="F600" s="226"/>
      <c r="G600" s="227"/>
    </row>
    <row r="601" ht="20.4" spans="1:7">
      <c r="A601" s="72" t="s">
        <v>542</v>
      </c>
      <c r="B601" s="73"/>
      <c r="C601" s="74"/>
      <c r="D601" s="74"/>
      <c r="E601" s="74"/>
      <c r="F601" s="74"/>
      <c r="G601" s="75"/>
    </row>
    <row r="602" spans="1:7">
      <c r="A602" s="115" t="s">
        <v>2</v>
      </c>
      <c r="B602" s="93" t="s">
        <v>3</v>
      </c>
      <c r="C602" s="135" t="s">
        <v>4</v>
      </c>
      <c r="D602" s="95" t="s">
        <v>5</v>
      </c>
      <c r="E602" s="93" t="s">
        <v>6</v>
      </c>
      <c r="F602" s="93" t="s">
        <v>7</v>
      </c>
      <c r="G602" s="97" t="s">
        <v>8</v>
      </c>
    </row>
    <row r="603" ht="18" spans="1:7">
      <c r="A603" s="122">
        <v>1</v>
      </c>
      <c r="B603" s="222" t="s">
        <v>543</v>
      </c>
      <c r="C603" s="246" t="s">
        <v>327</v>
      </c>
      <c r="D603" s="191">
        <v>11551</v>
      </c>
      <c r="E603" s="82"/>
      <c r="F603" s="82">
        <v>5</v>
      </c>
      <c r="G603" s="84"/>
    </row>
    <row r="604" ht="36" spans="1:7">
      <c r="A604" s="342">
        <v>2</v>
      </c>
      <c r="B604" s="219" t="s">
        <v>544</v>
      </c>
      <c r="C604" s="191"/>
      <c r="D604" s="191"/>
      <c r="E604" s="250"/>
      <c r="F604" s="250"/>
      <c r="G604" s="331"/>
    </row>
    <row r="605" ht="36" spans="1:7">
      <c r="A605" s="125">
        <v>3</v>
      </c>
      <c r="B605" s="219" t="s">
        <v>545</v>
      </c>
      <c r="C605" s="191"/>
      <c r="D605" s="191"/>
      <c r="E605" s="82"/>
      <c r="F605" s="82"/>
      <c r="G605" s="88"/>
    </row>
    <row r="606" ht="18" spans="1:7">
      <c r="A606" s="125">
        <v>4</v>
      </c>
      <c r="B606" s="219" t="s">
        <v>546</v>
      </c>
      <c r="C606" s="191"/>
      <c r="D606" s="191"/>
      <c r="E606" s="82"/>
      <c r="F606" s="82"/>
      <c r="G606" s="88"/>
    </row>
    <row r="607" ht="36" spans="1:7">
      <c r="A607" s="125">
        <v>5</v>
      </c>
      <c r="B607" s="219" t="s">
        <v>547</v>
      </c>
      <c r="C607" s="191"/>
      <c r="D607" s="191"/>
      <c r="E607" s="82"/>
      <c r="F607" s="82"/>
      <c r="G607" s="88"/>
    </row>
    <row r="608" ht="18" spans="1:7">
      <c r="A608" s="125">
        <v>6</v>
      </c>
      <c r="B608" s="219" t="s">
        <v>548</v>
      </c>
      <c r="C608" s="191" t="s">
        <v>210</v>
      </c>
      <c r="D608" s="191"/>
      <c r="E608" s="82"/>
      <c r="F608" s="82"/>
      <c r="G608" s="88"/>
    </row>
    <row r="609" ht="20.4" spans="1:7">
      <c r="A609" s="72" t="s">
        <v>549</v>
      </c>
      <c r="B609" s="73"/>
      <c r="C609" s="74"/>
      <c r="D609" s="74"/>
      <c r="E609" s="74"/>
      <c r="F609" s="74"/>
      <c r="G609" s="75"/>
    </row>
    <row r="610" spans="1:7">
      <c r="A610" s="92" t="s">
        <v>2</v>
      </c>
      <c r="B610" s="93" t="s">
        <v>3</v>
      </c>
      <c r="C610" s="94" t="s">
        <v>15</v>
      </c>
      <c r="D610" s="95" t="s">
        <v>5</v>
      </c>
      <c r="E610" s="96" t="s">
        <v>16</v>
      </c>
      <c r="F610" s="93" t="s">
        <v>7</v>
      </c>
      <c r="G610" s="97" t="s">
        <v>8</v>
      </c>
    </row>
    <row r="611" ht="34" spans="1:7">
      <c r="A611" s="192">
        <v>1</v>
      </c>
      <c r="B611" s="82" t="s">
        <v>550</v>
      </c>
      <c r="C611" s="343" t="s">
        <v>427</v>
      </c>
      <c r="D611" s="41">
        <v>775</v>
      </c>
      <c r="E611" s="82"/>
      <c r="F611" s="161">
        <v>2</v>
      </c>
      <c r="G611" s="88"/>
    </row>
    <row r="612" ht="34" spans="1:7">
      <c r="A612" s="192">
        <v>2</v>
      </c>
      <c r="B612" s="83" t="s">
        <v>551</v>
      </c>
      <c r="C612" s="340" t="s">
        <v>81</v>
      </c>
      <c r="D612" s="41">
        <v>2055</v>
      </c>
      <c r="E612" s="108"/>
      <c r="F612" s="56">
        <v>2</v>
      </c>
      <c r="G612" s="89"/>
    </row>
    <row r="613" ht="20.4" spans="1:7">
      <c r="A613" s="72" t="s">
        <v>21</v>
      </c>
      <c r="B613" s="73"/>
      <c r="C613" s="74"/>
      <c r="D613" s="74"/>
      <c r="E613" s="74"/>
      <c r="F613" s="74"/>
      <c r="G613" s="75"/>
    </row>
    <row r="614" spans="1:7">
      <c r="A614" s="92" t="s">
        <v>2</v>
      </c>
      <c r="B614" s="93" t="s">
        <v>3</v>
      </c>
      <c r="C614" s="94" t="s">
        <v>22</v>
      </c>
      <c r="D614" s="95" t="s">
        <v>5</v>
      </c>
      <c r="E614" s="96" t="s">
        <v>16</v>
      </c>
      <c r="F614" s="93" t="s">
        <v>7</v>
      </c>
      <c r="G614" s="97" t="s">
        <v>8</v>
      </c>
    </row>
    <row r="615" ht="51" spans="1:7">
      <c r="A615" s="104">
        <v>1</v>
      </c>
      <c r="B615" s="82" t="s">
        <v>552</v>
      </c>
      <c r="C615" s="321" t="s">
        <v>269</v>
      </c>
      <c r="D615" s="41" t="s">
        <v>553</v>
      </c>
      <c r="E615" s="108"/>
      <c r="F615" s="56">
        <v>13</v>
      </c>
      <c r="G615" s="146" t="s">
        <v>19</v>
      </c>
    </row>
    <row r="616" ht="53" spans="1:7">
      <c r="A616" s="104">
        <v>2</v>
      </c>
      <c r="B616" s="82" t="s">
        <v>554</v>
      </c>
      <c r="C616" s="321" t="s">
        <v>476</v>
      </c>
      <c r="D616" s="41" t="s">
        <v>555</v>
      </c>
      <c r="E616" s="108"/>
      <c r="F616" s="344">
        <v>13</v>
      </c>
      <c r="G616" s="108" t="s">
        <v>19</v>
      </c>
    </row>
    <row r="617" ht="34" spans="1:7">
      <c r="A617" s="104">
        <v>3</v>
      </c>
      <c r="B617" s="82" t="s">
        <v>556</v>
      </c>
      <c r="C617" s="321" t="s">
        <v>557</v>
      </c>
      <c r="D617" s="41" t="s">
        <v>558</v>
      </c>
      <c r="E617" s="147"/>
      <c r="F617" s="232">
        <v>8</v>
      </c>
      <c r="G617" s="148"/>
    </row>
    <row r="618" ht="51.75" spans="1:7">
      <c r="A618" s="104">
        <v>4</v>
      </c>
      <c r="B618" s="82" t="s">
        <v>559</v>
      </c>
      <c r="C618" s="321" t="s">
        <v>314</v>
      </c>
      <c r="D618" s="41" t="s">
        <v>560</v>
      </c>
      <c r="E618" s="83"/>
      <c r="F618" s="232">
        <v>13</v>
      </c>
      <c r="G618" s="234" t="s">
        <v>19</v>
      </c>
    </row>
    <row r="619" ht="26" spans="1:7">
      <c r="A619" s="214" t="s">
        <v>561</v>
      </c>
      <c r="B619" s="272"/>
      <c r="C619" s="273"/>
      <c r="D619" s="272"/>
      <c r="E619" s="272"/>
      <c r="F619" s="274"/>
      <c r="G619" s="275"/>
    </row>
    <row r="620" ht="20.4" spans="1:7">
      <c r="A620" s="72" t="s">
        <v>562</v>
      </c>
      <c r="B620" s="73"/>
      <c r="C620" s="74"/>
      <c r="D620" s="74"/>
      <c r="E620" s="74"/>
      <c r="F620" s="74"/>
      <c r="G620" s="75"/>
    </row>
    <row r="621" spans="1:7">
      <c r="A621" s="115" t="s">
        <v>2</v>
      </c>
      <c r="B621" s="93" t="s">
        <v>3</v>
      </c>
      <c r="C621" s="135" t="s">
        <v>4</v>
      </c>
      <c r="D621" s="95" t="s">
        <v>5</v>
      </c>
      <c r="E621" s="93" t="s">
        <v>6</v>
      </c>
      <c r="F621" s="93" t="s">
        <v>7</v>
      </c>
      <c r="G621" s="97" t="s">
        <v>8</v>
      </c>
    </row>
    <row r="622" ht="26" spans="1:7">
      <c r="A622" s="174">
        <v>1</v>
      </c>
      <c r="B622" s="191" t="s">
        <v>563</v>
      </c>
      <c r="C622" s="191"/>
      <c r="D622" s="191"/>
      <c r="E622" s="120"/>
      <c r="F622" s="147"/>
      <c r="G622" s="84"/>
    </row>
    <row r="623" ht="36" spans="1:7">
      <c r="A623" s="174">
        <v>2</v>
      </c>
      <c r="B623" s="219" t="s">
        <v>564</v>
      </c>
      <c r="C623" s="191"/>
      <c r="D623" s="191"/>
      <c r="E623" s="120"/>
      <c r="F623" s="84"/>
      <c r="G623" s="84"/>
    </row>
    <row r="624" ht="17.6" spans="1:7">
      <c r="A624" s="174">
        <v>3</v>
      </c>
      <c r="B624" s="191" t="s">
        <v>565</v>
      </c>
      <c r="C624" s="191"/>
      <c r="D624" s="191"/>
      <c r="E624" s="123"/>
      <c r="F624" s="156"/>
      <c r="G624" s="88"/>
    </row>
    <row r="625" ht="20.4" spans="1:7">
      <c r="A625" s="345" t="s">
        <v>79</v>
      </c>
      <c r="B625" s="73"/>
      <c r="C625" s="346"/>
      <c r="D625" s="73"/>
      <c r="E625" s="73"/>
      <c r="F625" s="73"/>
      <c r="G625" s="73"/>
    </row>
    <row r="626" spans="1:7">
      <c r="A626" s="92" t="s">
        <v>2</v>
      </c>
      <c r="B626" s="93" t="s">
        <v>3</v>
      </c>
      <c r="C626" s="94" t="s">
        <v>15</v>
      </c>
      <c r="D626" s="95" t="s">
        <v>5</v>
      </c>
      <c r="E626" s="96" t="s">
        <v>16</v>
      </c>
      <c r="F626" s="93" t="s">
        <v>7</v>
      </c>
      <c r="G626" s="97" t="s">
        <v>8</v>
      </c>
    </row>
    <row r="627" ht="36" spans="1:7">
      <c r="A627" s="233">
        <v>1</v>
      </c>
      <c r="B627" s="108" t="s">
        <v>566</v>
      </c>
      <c r="C627" s="82" t="s">
        <v>91</v>
      </c>
      <c r="D627" s="238">
        <v>2260</v>
      </c>
      <c r="E627" s="268"/>
      <c r="F627" s="106">
        <v>2</v>
      </c>
      <c r="G627" s="107"/>
    </row>
    <row r="628" ht="20.4" spans="1:7">
      <c r="A628" s="90" t="s">
        <v>21</v>
      </c>
      <c r="B628" s="73"/>
      <c r="C628" s="91"/>
      <c r="D628" s="91"/>
      <c r="E628" s="91"/>
      <c r="F628" s="91"/>
      <c r="G628" s="114"/>
    </row>
    <row r="629" spans="1:7">
      <c r="A629" s="92" t="s">
        <v>2</v>
      </c>
      <c r="B629" s="93" t="s">
        <v>3</v>
      </c>
      <c r="C629" s="94" t="s">
        <v>22</v>
      </c>
      <c r="D629" s="95" t="s">
        <v>5</v>
      </c>
      <c r="E629" s="96" t="s">
        <v>16</v>
      </c>
      <c r="F629" s="93" t="s">
        <v>7</v>
      </c>
      <c r="G629" s="97" t="s">
        <v>8</v>
      </c>
    </row>
    <row r="630" ht="17.6" spans="1:7">
      <c r="A630" s="108" t="s">
        <v>567</v>
      </c>
      <c r="B630" s="108"/>
      <c r="C630" s="108"/>
      <c r="D630" s="56"/>
      <c r="E630" s="108"/>
      <c r="F630" s="108"/>
      <c r="G630" s="108"/>
    </row>
    <row r="631" spans="1:7">
      <c r="A631" s="110"/>
      <c r="B631" s="110"/>
      <c r="C631" s="110"/>
      <c r="D631" s="83"/>
      <c r="E631" s="83"/>
      <c r="F631" s="83"/>
      <c r="G631" s="83"/>
    </row>
    <row r="632" spans="1:7">
      <c r="A632" s="110"/>
      <c r="B632" s="110"/>
      <c r="C632" s="110"/>
      <c r="D632" s="83"/>
      <c r="E632" s="83"/>
      <c r="F632" s="83"/>
      <c r="G632" s="83"/>
    </row>
    <row r="633" ht="26" spans="1:7">
      <c r="A633" s="147" t="s">
        <v>568</v>
      </c>
      <c r="B633" s="316"/>
      <c r="C633" s="316"/>
      <c r="D633" s="316"/>
      <c r="E633" s="316"/>
      <c r="F633" s="316"/>
      <c r="G633" s="347"/>
    </row>
    <row r="634" ht="20.4" spans="1:7">
      <c r="A634" s="72" t="s">
        <v>542</v>
      </c>
      <c r="B634" s="73"/>
      <c r="C634" s="74"/>
      <c r="D634" s="74"/>
      <c r="E634" s="74"/>
      <c r="F634" s="74"/>
      <c r="G634" s="75"/>
    </row>
    <row r="635" spans="1:7">
      <c r="A635" s="115" t="s">
        <v>2</v>
      </c>
      <c r="B635" s="93" t="s">
        <v>3</v>
      </c>
      <c r="C635" s="135" t="s">
        <v>4</v>
      </c>
      <c r="D635" s="95" t="s">
        <v>5</v>
      </c>
      <c r="E635" s="93" t="s">
        <v>6</v>
      </c>
      <c r="F635" s="93" t="s">
        <v>7</v>
      </c>
      <c r="G635" s="97" t="s">
        <v>8</v>
      </c>
    </row>
    <row r="636" ht="18" spans="1:7">
      <c r="A636" s="81">
        <v>1</v>
      </c>
      <c r="B636" s="169" t="s">
        <v>569</v>
      </c>
      <c r="C636" s="348"/>
      <c r="D636" s="128"/>
      <c r="E636" s="276"/>
      <c r="F636" s="259"/>
      <c r="G636" s="121"/>
    </row>
    <row r="637" ht="18" spans="1:7">
      <c r="A637" s="81">
        <v>2</v>
      </c>
      <c r="B637" s="169" t="s">
        <v>570</v>
      </c>
      <c r="C637" s="348"/>
      <c r="D637" s="128"/>
      <c r="E637" s="276"/>
      <c r="F637" s="259"/>
      <c r="G637" s="121"/>
    </row>
    <row r="638" ht="36" spans="1:7">
      <c r="A638" s="81">
        <v>3</v>
      </c>
      <c r="B638" s="169" t="s">
        <v>571</v>
      </c>
      <c r="C638" s="348"/>
      <c r="D638" s="128"/>
      <c r="E638" s="310"/>
      <c r="F638" s="103"/>
      <c r="G638" s="124"/>
    </row>
    <row r="639" ht="18" spans="1:7">
      <c r="A639" s="122">
        <v>4</v>
      </c>
      <c r="B639" s="169" t="s">
        <v>572</v>
      </c>
      <c r="C639" s="349"/>
      <c r="D639" s="150"/>
      <c r="E639" s="231"/>
      <c r="F639" s="231"/>
      <c r="G639" s="121"/>
    </row>
    <row r="640" ht="20.4" spans="1:7">
      <c r="A640" s="345" t="s">
        <v>515</v>
      </c>
      <c r="B640" s="73"/>
      <c r="C640" s="346"/>
      <c r="D640" s="73"/>
      <c r="E640" s="73"/>
      <c r="F640" s="73"/>
      <c r="G640" s="73"/>
    </row>
    <row r="641" spans="1:7">
      <c r="A641" s="92" t="s">
        <v>2</v>
      </c>
      <c r="B641" s="93" t="s">
        <v>3</v>
      </c>
      <c r="C641" s="94" t="s">
        <v>15</v>
      </c>
      <c r="D641" s="95" t="s">
        <v>5</v>
      </c>
      <c r="E641" s="96" t="s">
        <v>16</v>
      </c>
      <c r="F641" s="93" t="s">
        <v>7</v>
      </c>
      <c r="G641" s="97" t="s">
        <v>8</v>
      </c>
    </row>
    <row r="642" ht="36" spans="1:7">
      <c r="A642" s="350">
        <v>1</v>
      </c>
      <c r="B642" s="169" t="s">
        <v>571</v>
      </c>
      <c r="C642" s="108"/>
      <c r="D642" s="56"/>
      <c r="E642" s="108"/>
      <c r="F642" s="108"/>
      <c r="G642" s="187"/>
    </row>
    <row r="643" ht="36" spans="1:7">
      <c r="A643" s="350">
        <v>2</v>
      </c>
      <c r="B643" s="169" t="s">
        <v>573</v>
      </c>
      <c r="C643" s="108" t="s">
        <v>308</v>
      </c>
      <c r="D643" s="56"/>
      <c r="E643" s="108"/>
      <c r="F643" s="108">
        <v>2</v>
      </c>
      <c r="G643" s="146"/>
    </row>
    <row r="644" spans="1:7">
      <c r="A644" s="351" t="s">
        <v>21</v>
      </c>
      <c r="B644" s="352"/>
      <c r="C644" s="353"/>
      <c r="D644" s="353"/>
      <c r="E644" s="353"/>
      <c r="F644" s="353"/>
      <c r="G644" s="354"/>
    </row>
    <row r="645" spans="1:7">
      <c r="A645" s="92" t="s">
        <v>2</v>
      </c>
      <c r="B645" s="93" t="s">
        <v>3</v>
      </c>
      <c r="C645" s="94" t="s">
        <v>22</v>
      </c>
      <c r="D645" s="95" t="s">
        <v>5</v>
      </c>
      <c r="E645" s="96" t="s">
        <v>16</v>
      </c>
      <c r="F645" s="93" t="s">
        <v>7</v>
      </c>
      <c r="G645" s="97" t="s">
        <v>8</v>
      </c>
    </row>
    <row r="646" ht="36" spans="1:7">
      <c r="A646" s="56">
        <v>1</v>
      </c>
      <c r="B646" s="169" t="s">
        <v>574</v>
      </c>
      <c r="C646" s="108" t="s">
        <v>575</v>
      </c>
      <c r="D646" s="56"/>
      <c r="E646" s="108"/>
      <c r="F646" s="56"/>
      <c r="G646" s="82" t="s">
        <v>348</v>
      </c>
    </row>
    <row r="647" ht="36" spans="1:7">
      <c r="A647" s="56">
        <v>3</v>
      </c>
      <c r="B647" s="169" t="s">
        <v>576</v>
      </c>
      <c r="C647" s="108" t="s">
        <v>409</v>
      </c>
      <c r="D647" s="56"/>
      <c r="E647" s="108"/>
      <c r="F647" s="56">
        <v>8</v>
      </c>
      <c r="G647" s="108"/>
    </row>
    <row r="648" ht="34" spans="1:7">
      <c r="A648" s="56">
        <v>4</v>
      </c>
      <c r="B648" s="169" t="s">
        <v>577</v>
      </c>
      <c r="C648" s="82" t="s">
        <v>578</v>
      </c>
      <c r="D648" s="82"/>
      <c r="E648" s="82"/>
      <c r="F648" s="161">
        <v>8</v>
      </c>
      <c r="G648" s="108"/>
    </row>
    <row r="649" ht="34" spans="1:7">
      <c r="A649" s="56">
        <v>5</v>
      </c>
      <c r="B649" s="169" t="s">
        <v>579</v>
      </c>
      <c r="C649" s="82" t="s">
        <v>578</v>
      </c>
      <c r="D649" s="82"/>
      <c r="E649" s="82"/>
      <c r="F649" s="161">
        <v>8</v>
      </c>
      <c r="G649" s="108"/>
    </row>
    <row r="650" ht="18.35" spans="1:7">
      <c r="A650" s="239" t="s">
        <v>580</v>
      </c>
      <c r="B650" s="108"/>
      <c r="C650" s="240"/>
      <c r="D650" s="241"/>
      <c r="E650" s="242"/>
      <c r="F650" s="243"/>
      <c r="G650" s="244"/>
    </row>
    <row r="651" spans="1:7">
      <c r="A651" s="110"/>
      <c r="B651" s="110"/>
      <c r="C651" s="110"/>
      <c r="D651" s="110"/>
      <c r="E651" s="110"/>
      <c r="F651" s="110"/>
      <c r="G651" s="110"/>
    </row>
    <row r="652" spans="1:7">
      <c r="A652" s="110"/>
      <c r="B652" s="110"/>
      <c r="C652" s="110"/>
      <c r="D652" s="110"/>
      <c r="E652" s="110"/>
      <c r="F652" s="110"/>
      <c r="G652" s="110"/>
    </row>
    <row r="653" spans="1:7">
      <c r="A653" s="110"/>
      <c r="B653" s="110"/>
      <c r="C653" s="110"/>
      <c r="D653" s="110"/>
      <c r="E653" s="110"/>
      <c r="F653" s="110"/>
      <c r="G653" s="110"/>
    </row>
    <row r="654" ht="26" spans="1:7">
      <c r="A654" s="111" t="s">
        <v>581</v>
      </c>
      <c r="B654" s="111"/>
      <c r="C654" s="111"/>
      <c r="D654" s="111"/>
      <c r="E654" s="111"/>
      <c r="F654" s="111"/>
      <c r="G654" s="112"/>
    </row>
    <row r="655" ht="20.4" spans="1:7">
      <c r="A655" s="72" t="s">
        <v>1</v>
      </c>
      <c r="B655" s="73"/>
      <c r="C655" s="74"/>
      <c r="D655" s="74"/>
      <c r="E655" s="74"/>
      <c r="F655" s="74"/>
      <c r="G655" s="75"/>
    </row>
    <row r="656" ht="17" spans="1:7">
      <c r="A656" s="115" t="s">
        <v>2</v>
      </c>
      <c r="B656" s="125" t="s">
        <v>3</v>
      </c>
      <c r="C656" s="283" t="s">
        <v>4</v>
      </c>
      <c r="D656" s="95" t="s">
        <v>5</v>
      </c>
      <c r="E656" s="93" t="s">
        <v>6</v>
      </c>
      <c r="F656" s="93" t="s">
        <v>7</v>
      </c>
      <c r="G656" s="97" t="s">
        <v>8</v>
      </c>
    </row>
    <row r="657" ht="18" spans="1:7">
      <c r="A657" s="174">
        <v>1</v>
      </c>
      <c r="B657" s="169" t="s">
        <v>582</v>
      </c>
      <c r="C657" s="355"/>
      <c r="D657" s="356"/>
      <c r="E657" s="86"/>
      <c r="F657" s="86"/>
      <c r="G657" s="84"/>
    </row>
    <row r="658" ht="18" spans="1:7">
      <c r="A658" s="174">
        <v>2</v>
      </c>
      <c r="B658" s="169" t="s">
        <v>583</v>
      </c>
      <c r="C658" s="144"/>
      <c r="D658" s="86"/>
      <c r="E658" s="86"/>
      <c r="F658" s="86"/>
      <c r="G658" s="84"/>
    </row>
    <row r="659" ht="36" spans="1:7">
      <c r="A659" s="93">
        <v>3</v>
      </c>
      <c r="B659" s="169" t="s">
        <v>584</v>
      </c>
      <c r="C659" s="144"/>
      <c r="D659" s="82"/>
      <c r="E659" s="82"/>
      <c r="F659" s="82"/>
      <c r="G659" s="88"/>
    </row>
    <row r="660" ht="20.4" spans="1:7">
      <c r="A660" s="90" t="s">
        <v>515</v>
      </c>
      <c r="B660" s="73"/>
      <c r="C660" s="91"/>
      <c r="D660" s="91"/>
      <c r="E660" s="91"/>
      <c r="F660" s="91"/>
      <c r="G660" s="75"/>
    </row>
    <row r="661" ht="17" spans="1:7">
      <c r="A661" s="92" t="s">
        <v>2</v>
      </c>
      <c r="B661" s="125" t="s">
        <v>3</v>
      </c>
      <c r="C661" s="283" t="s">
        <v>4</v>
      </c>
      <c r="D661" s="95" t="s">
        <v>5</v>
      </c>
      <c r="E661" s="93" t="s">
        <v>6</v>
      </c>
      <c r="F661" s="93" t="s">
        <v>7</v>
      </c>
      <c r="G661" s="97" t="s">
        <v>8</v>
      </c>
    </row>
    <row r="662" ht="18" spans="1:7">
      <c r="A662" s="192">
        <v>1</v>
      </c>
      <c r="B662" s="169" t="s">
        <v>585</v>
      </c>
      <c r="C662" s="108" t="s">
        <v>18</v>
      </c>
      <c r="D662" s="56"/>
      <c r="E662" s="108"/>
      <c r="F662" s="56">
        <v>2</v>
      </c>
      <c r="G662" s="156"/>
    </row>
    <row r="663" ht="46" spans="1:7">
      <c r="A663" s="357">
        <v>2</v>
      </c>
      <c r="B663" s="169" t="s">
        <v>586</v>
      </c>
      <c r="C663" s="108" t="s">
        <v>18</v>
      </c>
      <c r="D663" s="43">
        <v>561537</v>
      </c>
      <c r="E663" s="187"/>
      <c r="F663" s="187">
        <v>14</v>
      </c>
      <c r="G663" s="156" t="s">
        <v>198</v>
      </c>
    </row>
    <row r="664" ht="36" spans="1:7">
      <c r="A664" s="187">
        <v>3</v>
      </c>
      <c r="B664" s="169" t="s">
        <v>587</v>
      </c>
      <c r="C664" s="108" t="s">
        <v>18</v>
      </c>
      <c r="D664" s="161"/>
      <c r="E664" s="161"/>
      <c r="F664" s="161">
        <v>2</v>
      </c>
      <c r="G664" s="187"/>
    </row>
    <row r="665" ht="20.4" spans="1:7">
      <c r="A665" s="72" t="s">
        <v>21</v>
      </c>
      <c r="B665" s="73"/>
      <c r="C665" s="74"/>
      <c r="D665" s="74"/>
      <c r="E665" s="74"/>
      <c r="F665" s="74"/>
      <c r="G665" s="75"/>
    </row>
    <row r="666" spans="1:7">
      <c r="A666" s="358" t="s">
        <v>2</v>
      </c>
      <c r="B666" s="93" t="s">
        <v>3</v>
      </c>
      <c r="C666" s="94" t="s">
        <v>22</v>
      </c>
      <c r="D666" s="95" t="s">
        <v>5</v>
      </c>
      <c r="E666" s="96" t="s">
        <v>16</v>
      </c>
      <c r="F666" s="93" t="s">
        <v>7</v>
      </c>
      <c r="G666" s="97" t="s">
        <v>8</v>
      </c>
    </row>
    <row r="667" ht="36" spans="1:7">
      <c r="A667" s="344">
        <v>1</v>
      </c>
      <c r="B667" s="169" t="s">
        <v>588</v>
      </c>
      <c r="C667" s="169" t="s">
        <v>589</v>
      </c>
      <c r="D667" s="169"/>
      <c r="E667" s="169"/>
      <c r="F667" s="169">
        <v>8</v>
      </c>
      <c r="G667" s="169"/>
    </row>
    <row r="668" ht="53" spans="1:7">
      <c r="A668" s="344">
        <v>2</v>
      </c>
      <c r="B668" s="169" t="s">
        <v>590</v>
      </c>
      <c r="C668" s="169" t="s">
        <v>578</v>
      </c>
      <c r="D668" s="169"/>
      <c r="E668" s="169"/>
      <c r="F668" s="169">
        <v>8</v>
      </c>
      <c r="G668" s="169"/>
    </row>
    <row r="669" ht="18.35" spans="1:7">
      <c r="A669" s="239" t="s">
        <v>580</v>
      </c>
      <c r="B669" s="108"/>
      <c r="C669" s="240"/>
      <c r="D669" s="241"/>
      <c r="E669" s="242"/>
      <c r="F669" s="243"/>
      <c r="G669" s="244"/>
    </row>
    <row r="670" spans="1:7">
      <c r="A670" s="83"/>
      <c r="B670" s="83"/>
      <c r="C670" s="83"/>
      <c r="D670" s="83"/>
      <c r="E670" s="83"/>
      <c r="F670" s="83"/>
      <c r="G670" s="83"/>
    </row>
    <row r="671" ht="17.55" spans="1:7">
      <c r="A671" s="83"/>
      <c r="B671" s="83"/>
      <c r="C671" s="83"/>
      <c r="D671" s="83"/>
      <c r="E671" s="83"/>
      <c r="F671" s="83"/>
      <c r="G671" s="83"/>
    </row>
    <row r="672" ht="26" spans="1:7">
      <c r="A672" s="223" t="s">
        <v>591</v>
      </c>
      <c r="B672" s="111"/>
      <c r="C672" s="224"/>
      <c r="D672" s="225"/>
      <c r="E672" s="225"/>
      <c r="F672" s="226"/>
      <c r="G672" s="227"/>
    </row>
    <row r="673" ht="20.4" spans="1:7">
      <c r="A673" s="72" t="s">
        <v>116</v>
      </c>
      <c r="B673" s="73"/>
      <c r="C673" s="74"/>
      <c r="D673" s="74"/>
      <c r="E673" s="74"/>
      <c r="F673" s="74"/>
      <c r="G673" s="75"/>
    </row>
    <row r="674" spans="1:7">
      <c r="A674" s="115" t="s">
        <v>2</v>
      </c>
      <c r="B674" s="93" t="s">
        <v>3</v>
      </c>
      <c r="C674" s="135" t="s">
        <v>4</v>
      </c>
      <c r="D674" s="95" t="s">
        <v>5</v>
      </c>
      <c r="E674" s="93" t="s">
        <v>6</v>
      </c>
      <c r="F674" s="93" t="s">
        <v>7</v>
      </c>
      <c r="G674" s="97" t="s">
        <v>8</v>
      </c>
    </row>
    <row r="675" ht="18" spans="1:7">
      <c r="A675" s="122">
        <v>1</v>
      </c>
      <c r="B675" s="169" t="s">
        <v>592</v>
      </c>
      <c r="C675" s="355"/>
      <c r="D675" s="144"/>
      <c r="E675" s="144"/>
      <c r="F675" s="144"/>
      <c r="G675" s="259"/>
    </row>
    <row r="676" ht="18" spans="1:7">
      <c r="A676" s="122">
        <v>2</v>
      </c>
      <c r="B676" s="169" t="s">
        <v>593</v>
      </c>
      <c r="C676" s="355"/>
      <c r="D676" s="144"/>
      <c r="E676" s="144"/>
      <c r="F676" s="144"/>
      <c r="G676" s="259"/>
    </row>
    <row r="677" ht="18" spans="1:7">
      <c r="A677" s="122">
        <v>3</v>
      </c>
      <c r="B677" s="169" t="s">
        <v>594</v>
      </c>
      <c r="C677" s="355"/>
      <c r="D677" s="144"/>
      <c r="E677" s="144"/>
      <c r="F677" s="144"/>
      <c r="G677" s="259"/>
    </row>
    <row r="678" ht="18" spans="1:7">
      <c r="A678" s="122">
        <v>4</v>
      </c>
      <c r="B678" s="169" t="s">
        <v>595</v>
      </c>
      <c r="C678" s="355"/>
      <c r="D678" s="144"/>
      <c r="E678" s="144"/>
      <c r="F678" s="144"/>
      <c r="G678" s="259"/>
    </row>
    <row r="679" ht="18" spans="1:7">
      <c r="A679" s="359">
        <v>5</v>
      </c>
      <c r="B679" s="169" t="s">
        <v>596</v>
      </c>
      <c r="C679" s="355"/>
      <c r="D679" s="144"/>
      <c r="E679" s="144"/>
      <c r="F679" s="144"/>
      <c r="G679" s="259"/>
    </row>
    <row r="680" ht="20.4" spans="1:7">
      <c r="A680" s="90" t="s">
        <v>597</v>
      </c>
      <c r="B680" s="73"/>
      <c r="C680" s="91"/>
      <c r="D680" s="91"/>
      <c r="E680" s="91"/>
      <c r="F680" s="91"/>
      <c r="G680" s="114"/>
    </row>
    <row r="681" spans="1:7">
      <c r="A681" s="92" t="s">
        <v>2</v>
      </c>
      <c r="B681" s="93" t="s">
        <v>3</v>
      </c>
      <c r="C681" s="94" t="s">
        <v>15</v>
      </c>
      <c r="D681" s="95" t="s">
        <v>5</v>
      </c>
      <c r="E681" s="96" t="s">
        <v>16</v>
      </c>
      <c r="F681" s="93" t="s">
        <v>7</v>
      </c>
      <c r="G681" s="97" t="s">
        <v>8</v>
      </c>
    </row>
    <row r="682" ht="46" spans="1:7">
      <c r="A682" s="192">
        <v>1</v>
      </c>
      <c r="B682" s="190" t="s">
        <v>598</v>
      </c>
      <c r="C682" s="94" t="s">
        <v>18</v>
      </c>
      <c r="D682" s="43">
        <v>193488</v>
      </c>
      <c r="E682" s="88"/>
      <c r="F682" s="88">
        <v>14</v>
      </c>
      <c r="G682" s="88" t="s">
        <v>198</v>
      </c>
    </row>
    <row r="683" ht="20.4" spans="1:7">
      <c r="A683" s="280">
        <v>2</v>
      </c>
      <c r="B683" s="360" t="s">
        <v>599</v>
      </c>
      <c r="C683" s="94"/>
      <c r="D683" s="88"/>
      <c r="E683" s="88"/>
      <c r="F683" s="88"/>
      <c r="G683" s="361"/>
    </row>
    <row r="684" ht="20.4" spans="1:7">
      <c r="A684" s="72" t="s">
        <v>21</v>
      </c>
      <c r="B684" s="73"/>
      <c r="C684" s="74"/>
      <c r="D684" s="74"/>
      <c r="E684" s="74"/>
      <c r="F684" s="74"/>
      <c r="G684" s="75"/>
    </row>
    <row r="685" spans="1:7">
      <c r="A685" s="92" t="s">
        <v>2</v>
      </c>
      <c r="B685" s="93" t="s">
        <v>3</v>
      </c>
      <c r="C685" s="94" t="s">
        <v>22</v>
      </c>
      <c r="D685" s="95" t="s">
        <v>5</v>
      </c>
      <c r="E685" s="96" t="s">
        <v>16</v>
      </c>
      <c r="F685" s="93" t="s">
        <v>7</v>
      </c>
      <c r="G685" s="97" t="s">
        <v>8</v>
      </c>
    </row>
    <row r="686" ht="18" spans="1:7">
      <c r="A686" s="56">
        <v>1</v>
      </c>
      <c r="B686" s="108" t="s">
        <v>600</v>
      </c>
      <c r="C686" s="108" t="s">
        <v>601</v>
      </c>
      <c r="D686" s="56"/>
      <c r="E686" s="108"/>
      <c r="F686" s="56">
        <v>8</v>
      </c>
      <c r="G686" s="108"/>
    </row>
    <row r="687" ht="36" spans="1:7">
      <c r="A687" s="56">
        <v>2</v>
      </c>
      <c r="B687" s="108" t="s">
        <v>602</v>
      </c>
      <c r="C687" s="108" t="s">
        <v>603</v>
      </c>
      <c r="D687" s="56"/>
      <c r="E687" s="108"/>
      <c r="F687" s="56">
        <v>8</v>
      </c>
      <c r="G687" s="108"/>
    </row>
    <row r="688" ht="36" spans="1:7">
      <c r="A688" s="56">
        <v>3</v>
      </c>
      <c r="B688" s="108" t="s">
        <v>604</v>
      </c>
      <c r="C688" s="105" t="s">
        <v>269</v>
      </c>
      <c r="D688" s="238"/>
      <c r="E688" s="268"/>
      <c r="F688" s="106">
        <v>8</v>
      </c>
      <c r="G688" s="237"/>
    </row>
    <row r="689" ht="36" spans="1:7">
      <c r="A689" s="56">
        <v>4</v>
      </c>
      <c r="B689" s="108" t="s">
        <v>605</v>
      </c>
      <c r="C689" s="105" t="s">
        <v>575</v>
      </c>
      <c r="D689" s="238"/>
      <c r="E689" s="268"/>
      <c r="F689" s="106"/>
      <c r="G689" s="237" t="s">
        <v>348</v>
      </c>
    </row>
    <row r="690" ht="18.35" spans="1:7">
      <c r="A690" s="239" t="s">
        <v>580</v>
      </c>
      <c r="B690" s="108"/>
      <c r="C690" s="240"/>
      <c r="D690" s="241"/>
      <c r="E690" s="242"/>
      <c r="F690" s="243"/>
      <c r="G690" s="244"/>
    </row>
    <row r="691" spans="1:7">
      <c r="A691" s="83"/>
      <c r="B691" s="83"/>
      <c r="C691" s="83"/>
      <c r="D691" s="83"/>
      <c r="E691" s="83"/>
      <c r="F691" s="83"/>
      <c r="G691" s="83"/>
    </row>
    <row r="692" ht="17.55" spans="1:7">
      <c r="A692" s="83"/>
      <c r="B692" s="83"/>
      <c r="C692" s="83"/>
      <c r="D692" s="83"/>
      <c r="E692" s="83"/>
      <c r="F692" s="83"/>
      <c r="G692" s="83"/>
    </row>
    <row r="693" ht="26" spans="1:7">
      <c r="A693" s="214" t="s">
        <v>606</v>
      </c>
      <c r="B693" s="147"/>
      <c r="C693" s="215"/>
      <c r="D693" s="216"/>
      <c r="E693" s="216"/>
      <c r="F693" s="217"/>
      <c r="G693" s="218"/>
    </row>
    <row r="694" ht="20.4" spans="1:7">
      <c r="A694" s="72" t="s">
        <v>1</v>
      </c>
      <c r="B694" s="73"/>
      <c r="C694" s="74"/>
      <c r="D694" s="74"/>
      <c r="E694" s="74"/>
      <c r="F694" s="74"/>
      <c r="G694" s="75"/>
    </row>
    <row r="695" spans="1:7">
      <c r="A695" s="115" t="s">
        <v>2</v>
      </c>
      <c r="B695" s="93" t="s">
        <v>3</v>
      </c>
      <c r="C695" s="135" t="s">
        <v>4</v>
      </c>
      <c r="D695" s="95" t="s">
        <v>5</v>
      </c>
      <c r="E695" s="93" t="s">
        <v>6</v>
      </c>
      <c r="F695" s="93" t="s">
        <v>7</v>
      </c>
      <c r="G695" s="97" t="s">
        <v>8</v>
      </c>
    </row>
    <row r="696" ht="17.6" spans="1:7">
      <c r="A696" s="87">
        <v>1</v>
      </c>
      <c r="B696" s="158" t="s">
        <v>607</v>
      </c>
      <c r="C696" s="144"/>
      <c r="D696" s="86"/>
      <c r="E696" s="86"/>
      <c r="F696" s="86"/>
      <c r="G696" s="259"/>
    </row>
    <row r="697" spans="1:7">
      <c r="A697" s="87">
        <v>2</v>
      </c>
      <c r="B697" s="362" t="s">
        <v>608</v>
      </c>
      <c r="C697" s="144"/>
      <c r="D697" s="86"/>
      <c r="E697" s="86"/>
      <c r="F697" s="86"/>
      <c r="G697" s="259"/>
    </row>
    <row r="698" ht="17.6" spans="1:7">
      <c r="A698" s="87">
        <v>3</v>
      </c>
      <c r="B698" s="158" t="s">
        <v>609</v>
      </c>
      <c r="C698" s="144"/>
      <c r="D698" s="86"/>
      <c r="E698" s="86"/>
      <c r="F698" s="86"/>
      <c r="G698" s="103"/>
    </row>
    <row r="699" spans="1:7">
      <c r="A699" s="87">
        <v>4</v>
      </c>
      <c r="B699" s="363" t="s">
        <v>610</v>
      </c>
      <c r="C699" s="187"/>
      <c r="D699" s="187"/>
      <c r="E699" s="187"/>
      <c r="F699" s="187"/>
      <c r="G699" s="187"/>
    </row>
    <row r="700" spans="1:7">
      <c r="A700" s="87">
        <v>5</v>
      </c>
      <c r="B700" s="363" t="s">
        <v>611</v>
      </c>
      <c r="C700" s="187"/>
      <c r="D700" s="187"/>
      <c r="E700" s="187"/>
      <c r="F700" s="187"/>
      <c r="G700" s="187"/>
    </row>
    <row r="701" ht="20.4" spans="1:7">
      <c r="A701" s="87">
        <v>6</v>
      </c>
      <c r="B701" s="169" t="s">
        <v>612</v>
      </c>
      <c r="C701" s="89"/>
      <c r="D701" s="89"/>
      <c r="E701" s="89"/>
      <c r="F701" s="89"/>
      <c r="G701" s="89"/>
    </row>
    <row r="702" ht="20.4" spans="1:7">
      <c r="A702" s="90" t="s">
        <v>67</v>
      </c>
      <c r="B702" s="73"/>
      <c r="C702" s="91"/>
      <c r="D702" s="91"/>
      <c r="E702" s="91"/>
      <c r="F702" s="91"/>
      <c r="G702" s="114"/>
    </row>
    <row r="703" spans="1:7">
      <c r="A703" s="92" t="s">
        <v>2</v>
      </c>
      <c r="B703" s="93" t="s">
        <v>3</v>
      </c>
      <c r="C703" s="94" t="s">
        <v>15</v>
      </c>
      <c r="D703" s="95" t="s">
        <v>5</v>
      </c>
      <c r="E703" s="96" t="s">
        <v>16</v>
      </c>
      <c r="F703" s="93" t="s">
        <v>7</v>
      </c>
      <c r="G703" s="97" t="s">
        <v>8</v>
      </c>
    </row>
    <row r="704" ht="17.6" spans="1:7">
      <c r="A704" s="192">
        <v>1</v>
      </c>
      <c r="B704" s="175" t="s">
        <v>613</v>
      </c>
      <c r="C704" s="94" t="s">
        <v>18</v>
      </c>
      <c r="D704" s="101"/>
      <c r="E704" s="101"/>
      <c r="F704" s="101">
        <v>2</v>
      </c>
      <c r="G704" s="204"/>
    </row>
    <row r="705" ht="18" spans="1:7">
      <c r="A705" s="102">
        <v>2</v>
      </c>
      <c r="B705" s="108" t="s">
        <v>614</v>
      </c>
      <c r="C705" s="94" t="s">
        <v>18</v>
      </c>
      <c r="D705" s="161"/>
      <c r="E705" s="82"/>
      <c r="F705" s="161">
        <v>2</v>
      </c>
      <c r="G705" s="108"/>
    </row>
    <row r="706" ht="18" spans="1:7">
      <c r="A706" s="187">
        <v>3</v>
      </c>
      <c r="B706" s="108" t="s">
        <v>615</v>
      </c>
      <c r="C706" s="163"/>
      <c r="D706" s="161"/>
      <c r="E706" s="161"/>
      <c r="F706" s="161"/>
      <c r="G706" s="161"/>
    </row>
    <row r="707" ht="20.4" spans="1:7">
      <c r="A707" s="72" t="s">
        <v>21</v>
      </c>
      <c r="B707" s="73"/>
      <c r="C707" s="74"/>
      <c r="D707" s="74"/>
      <c r="E707" s="74"/>
      <c r="F707" s="74"/>
      <c r="G707" s="75"/>
    </row>
    <row r="708" spans="1:7">
      <c r="A708" s="92" t="s">
        <v>2</v>
      </c>
      <c r="B708" s="93" t="s">
        <v>3</v>
      </c>
      <c r="C708" s="94" t="s">
        <v>22</v>
      </c>
      <c r="D708" s="95" t="s">
        <v>5</v>
      </c>
      <c r="E708" s="96" t="s">
        <v>16</v>
      </c>
      <c r="F708" s="93" t="s">
        <v>7</v>
      </c>
      <c r="G708" s="97" t="s">
        <v>8</v>
      </c>
    </row>
    <row r="709" ht="51" spans="1:7">
      <c r="A709" s="344">
        <v>1</v>
      </c>
      <c r="B709" s="82" t="s">
        <v>616</v>
      </c>
      <c r="C709" s="94" t="s">
        <v>617</v>
      </c>
      <c r="D709" s="43">
        <v>40427</v>
      </c>
      <c r="E709" s="101"/>
      <c r="F709" s="101">
        <v>13</v>
      </c>
      <c r="G709" s="82" t="s">
        <v>19</v>
      </c>
    </row>
    <row r="710" ht="18.35" spans="1:7">
      <c r="A710" s="239" t="s">
        <v>580</v>
      </c>
      <c r="B710" s="108"/>
      <c r="C710" s="240"/>
      <c r="D710" s="241"/>
      <c r="E710" s="242"/>
      <c r="F710" s="243"/>
      <c r="G710" s="244"/>
    </row>
    <row r="711" spans="1:7">
      <c r="A711" s="110"/>
      <c r="B711" s="110"/>
      <c r="C711" s="110"/>
      <c r="D711" s="110"/>
      <c r="E711" s="110"/>
      <c r="F711" s="110"/>
      <c r="G711" s="110"/>
    </row>
    <row r="712" ht="17.55" spans="1:7">
      <c r="A712" s="110"/>
      <c r="B712" s="110"/>
      <c r="C712" s="110"/>
      <c r="D712" s="110"/>
      <c r="E712" s="110"/>
      <c r="F712" s="110"/>
      <c r="G712" s="110"/>
    </row>
    <row r="713" ht="26" spans="1:7">
      <c r="A713" s="214" t="s">
        <v>618</v>
      </c>
      <c r="B713" s="147"/>
      <c r="C713" s="215"/>
      <c r="D713" s="216"/>
      <c r="E713" s="216"/>
      <c r="F713" s="217"/>
      <c r="G713" s="218"/>
    </row>
    <row r="714" ht="20.4" spans="1:7">
      <c r="A714" s="72" t="s">
        <v>1</v>
      </c>
      <c r="B714" s="73"/>
      <c r="C714" s="74"/>
      <c r="D714" s="74"/>
      <c r="E714" s="74"/>
      <c r="F714" s="74"/>
      <c r="G714" s="75"/>
    </row>
    <row r="715" spans="1:7">
      <c r="A715" s="115" t="s">
        <v>2</v>
      </c>
      <c r="B715" s="93" t="s">
        <v>3</v>
      </c>
      <c r="C715" s="135" t="s">
        <v>4</v>
      </c>
      <c r="D715" s="95" t="s">
        <v>5</v>
      </c>
      <c r="E715" s="93" t="s">
        <v>6</v>
      </c>
      <c r="F715" s="93" t="s">
        <v>7</v>
      </c>
      <c r="G715" s="97" t="s">
        <v>8</v>
      </c>
    </row>
    <row r="716" ht="17" spans="1:7">
      <c r="A716" s="87">
        <v>1</v>
      </c>
      <c r="B716" s="144" t="s">
        <v>619</v>
      </c>
      <c r="C716" s="144"/>
      <c r="D716" s="86"/>
      <c r="E716" s="86"/>
      <c r="F716" s="86"/>
      <c r="G716" s="259"/>
    </row>
    <row r="717" ht="18" spans="1:7">
      <c r="A717" s="87">
        <v>2</v>
      </c>
      <c r="B717" s="169" t="s">
        <v>620</v>
      </c>
      <c r="C717" s="144"/>
      <c r="D717" s="86"/>
      <c r="E717" s="86"/>
      <c r="F717" s="356"/>
      <c r="G717" s="313"/>
    </row>
    <row r="718" ht="17" spans="1:7">
      <c r="A718" s="87">
        <v>3</v>
      </c>
      <c r="B718" s="364" t="s">
        <v>621</v>
      </c>
      <c r="C718" s="144"/>
      <c r="D718" s="86"/>
      <c r="E718" s="86"/>
      <c r="F718" s="86"/>
      <c r="G718" s="103"/>
    </row>
    <row r="719" ht="34" spans="1:7">
      <c r="A719" s="87">
        <v>4</v>
      </c>
      <c r="B719" s="82" t="s">
        <v>622</v>
      </c>
      <c r="C719" s="187"/>
      <c r="D719" s="187"/>
      <c r="E719" s="187"/>
      <c r="F719" s="187"/>
      <c r="G719" s="187"/>
    </row>
    <row r="720" ht="17.6" spans="1:7">
      <c r="A720" s="87">
        <v>5</v>
      </c>
      <c r="B720" s="158" t="s">
        <v>623</v>
      </c>
      <c r="C720" s="365"/>
      <c r="D720" s="365"/>
      <c r="E720" s="365"/>
      <c r="F720" s="187"/>
      <c r="G720" s="187"/>
    </row>
    <row r="721" ht="18" spans="1:7">
      <c r="A721" s="87">
        <v>6</v>
      </c>
      <c r="B721" s="149" t="s">
        <v>624</v>
      </c>
      <c r="C721" s="365"/>
      <c r="D721" s="365"/>
      <c r="E721" s="365"/>
      <c r="F721" s="187"/>
      <c r="G721" s="187"/>
    </row>
    <row r="722" ht="34" spans="1:7">
      <c r="A722" s="87">
        <v>7</v>
      </c>
      <c r="B722" s="82" t="s">
        <v>625</v>
      </c>
      <c r="C722" s="365"/>
      <c r="D722" s="365"/>
      <c r="E722" s="365"/>
      <c r="F722" s="187"/>
      <c r="G722" s="187"/>
    </row>
    <row r="723" ht="18" spans="1:7">
      <c r="A723" s="87">
        <v>8</v>
      </c>
      <c r="B723" s="169" t="s">
        <v>626</v>
      </c>
      <c r="C723" s="365"/>
      <c r="D723" s="365"/>
      <c r="E723" s="365"/>
      <c r="F723" s="187"/>
      <c r="G723" s="187"/>
    </row>
    <row r="724" ht="20.4" spans="1:7">
      <c r="A724" s="90" t="s">
        <v>67</v>
      </c>
      <c r="B724" s="73"/>
      <c r="C724" s="91"/>
      <c r="D724" s="91"/>
      <c r="E724" s="91"/>
      <c r="F724" s="91"/>
      <c r="G724" s="114"/>
    </row>
    <row r="725" spans="1:7">
      <c r="A725" s="92" t="s">
        <v>2</v>
      </c>
      <c r="B725" s="93" t="s">
        <v>3</v>
      </c>
      <c r="C725" s="94" t="s">
        <v>15</v>
      </c>
      <c r="D725" s="95" t="s">
        <v>5</v>
      </c>
      <c r="E725" s="96" t="s">
        <v>16</v>
      </c>
      <c r="F725" s="93" t="s">
        <v>7</v>
      </c>
      <c r="G725" s="97" t="s">
        <v>8</v>
      </c>
    </row>
    <row r="726" ht="17.6" spans="1:7">
      <c r="A726" s="192">
        <v>1</v>
      </c>
      <c r="B726" s="175" t="s">
        <v>627</v>
      </c>
      <c r="C726" s="94"/>
      <c r="D726" s="101"/>
      <c r="E726" s="101"/>
      <c r="F726" s="101"/>
      <c r="G726" s="204"/>
    </row>
    <row r="727" ht="20.4" spans="1:7">
      <c r="A727" s="72" t="s">
        <v>21</v>
      </c>
      <c r="B727" s="73"/>
      <c r="C727" s="74"/>
      <c r="D727" s="74"/>
      <c r="E727" s="74"/>
      <c r="F727" s="74"/>
      <c r="G727" s="75"/>
    </row>
    <row r="728" spans="1:7">
      <c r="A728" s="92" t="s">
        <v>2</v>
      </c>
      <c r="B728" s="93" t="s">
        <v>3</v>
      </c>
      <c r="C728" s="94" t="s">
        <v>22</v>
      </c>
      <c r="D728" s="95" t="s">
        <v>5</v>
      </c>
      <c r="E728" s="96" t="s">
        <v>16</v>
      </c>
      <c r="F728" s="93" t="s">
        <v>7</v>
      </c>
      <c r="G728" s="97" t="s">
        <v>8</v>
      </c>
    </row>
    <row r="729" spans="1:7">
      <c r="A729" s="366">
        <v>1</v>
      </c>
      <c r="B729" s="93" t="s">
        <v>628</v>
      </c>
      <c r="C729" s="94" t="s">
        <v>24</v>
      </c>
      <c r="D729" s="95"/>
      <c r="E729" s="96"/>
      <c r="F729" s="93">
        <v>8</v>
      </c>
      <c r="G729" s="174"/>
    </row>
    <row r="730" ht="53" spans="1:7">
      <c r="A730" s="366">
        <v>2</v>
      </c>
      <c r="B730" s="108" t="s">
        <v>629</v>
      </c>
      <c r="C730" s="163" t="s">
        <v>630</v>
      </c>
      <c r="D730" s="43">
        <v>52027</v>
      </c>
      <c r="E730" s="108"/>
      <c r="F730" s="108">
        <v>18</v>
      </c>
      <c r="G730" s="108" t="s">
        <v>60</v>
      </c>
    </row>
    <row r="731" ht="18.35" spans="1:7">
      <c r="A731" s="239" t="s">
        <v>580</v>
      </c>
      <c r="B731" s="108"/>
      <c r="C731" s="240"/>
      <c r="D731" s="241"/>
      <c r="E731" s="242"/>
      <c r="F731" s="243"/>
      <c r="G731" s="244"/>
    </row>
    <row r="732" spans="1:7">
      <c r="A732" s="110"/>
      <c r="B732" s="110"/>
      <c r="C732" s="110"/>
      <c r="D732" s="110"/>
      <c r="E732" s="110"/>
      <c r="F732" s="110"/>
      <c r="G732" s="110"/>
    </row>
  </sheetData>
  <mergeCells count="159">
    <mergeCell ref="A1:G1"/>
    <mergeCell ref="A2:G2"/>
    <mergeCell ref="A9:G9"/>
    <mergeCell ref="A13:G13"/>
    <mergeCell ref="A17:G17"/>
    <mergeCell ref="A20:G20"/>
    <mergeCell ref="A21:G21"/>
    <mergeCell ref="A29:G29"/>
    <mergeCell ref="A33:G33"/>
    <mergeCell ref="A38:G38"/>
    <mergeCell ref="A41:G41"/>
    <mergeCell ref="A42:G42"/>
    <mergeCell ref="A48:G48"/>
    <mergeCell ref="A53:G53"/>
    <mergeCell ref="A56:G56"/>
    <mergeCell ref="A59:G59"/>
    <mergeCell ref="A60:G60"/>
    <mergeCell ref="A66:G66"/>
    <mergeCell ref="A69:G69"/>
    <mergeCell ref="A73:G73"/>
    <mergeCell ref="A76:G76"/>
    <mergeCell ref="A77:G77"/>
    <mergeCell ref="A84:G84"/>
    <mergeCell ref="A88:G88"/>
    <mergeCell ref="A91:G91"/>
    <mergeCell ref="A93:G93"/>
    <mergeCell ref="A94:G94"/>
    <mergeCell ref="A100:G100"/>
    <mergeCell ref="A113:G113"/>
    <mergeCell ref="A119:G119"/>
    <mergeCell ref="A122:G122"/>
    <mergeCell ref="A123:G123"/>
    <mergeCell ref="A131:G131"/>
    <mergeCell ref="A138:G138"/>
    <mergeCell ref="A147:G147"/>
    <mergeCell ref="A149:G149"/>
    <mergeCell ref="A150:G150"/>
    <mergeCell ref="A157:G157"/>
    <mergeCell ref="A160:G160"/>
    <mergeCell ref="A162:G162"/>
    <mergeCell ref="A163:G163"/>
    <mergeCell ref="A172:G172"/>
    <mergeCell ref="A177:G177"/>
    <mergeCell ref="A183:G183"/>
    <mergeCell ref="A185:G185"/>
    <mergeCell ref="A186:G186"/>
    <mergeCell ref="A200:G200"/>
    <mergeCell ref="A209:G209"/>
    <mergeCell ref="A211:G211"/>
    <mergeCell ref="A212:G212"/>
    <mergeCell ref="A213:G213"/>
    <mergeCell ref="A214:G214"/>
    <mergeCell ref="A224:G224"/>
    <mergeCell ref="A243:G243"/>
    <mergeCell ref="A245:G245"/>
    <mergeCell ref="A247:G247"/>
    <mergeCell ref="A248:G248"/>
    <mergeCell ref="A263:G263"/>
    <mergeCell ref="A270:G270"/>
    <mergeCell ref="A272:G272"/>
    <mergeCell ref="A275:G275"/>
    <mergeCell ref="A276:G276"/>
    <mergeCell ref="A287:G287"/>
    <mergeCell ref="A296:G296"/>
    <mergeCell ref="A302:G302"/>
    <mergeCell ref="A306:G306"/>
    <mergeCell ref="A307:G307"/>
    <mergeCell ref="A313:G313"/>
    <mergeCell ref="A316:G316"/>
    <mergeCell ref="A321:G321"/>
    <mergeCell ref="A323:G323"/>
    <mergeCell ref="A324:G324"/>
    <mergeCell ref="A333:G333"/>
    <mergeCell ref="A336:G336"/>
    <mergeCell ref="A340:G340"/>
    <mergeCell ref="A343:G343"/>
    <mergeCell ref="A344:G344"/>
    <mergeCell ref="A351:G351"/>
    <mergeCell ref="A356:G356"/>
    <mergeCell ref="A363:G363"/>
    <mergeCell ref="A367:G367"/>
    <mergeCell ref="A368:G368"/>
    <mergeCell ref="A384:G384"/>
    <mergeCell ref="A390:G390"/>
    <mergeCell ref="A398:G398"/>
    <mergeCell ref="A401:G401"/>
    <mergeCell ref="A402:G402"/>
    <mergeCell ref="A410:G410"/>
    <mergeCell ref="A417:G417"/>
    <mergeCell ref="A431:G431"/>
    <mergeCell ref="A434:G434"/>
    <mergeCell ref="A435:G435"/>
    <mergeCell ref="A442:G442"/>
    <mergeCell ref="A448:G448"/>
    <mergeCell ref="A456:G456"/>
    <mergeCell ref="A458:G458"/>
    <mergeCell ref="A459:G459"/>
    <mergeCell ref="A466:G466"/>
    <mergeCell ref="A474:G474"/>
    <mergeCell ref="A478:G478"/>
    <mergeCell ref="A481:G481"/>
    <mergeCell ref="A482:G482"/>
    <mergeCell ref="A489:G489"/>
    <mergeCell ref="A498:G498"/>
    <mergeCell ref="A502:G502"/>
    <mergeCell ref="A503:G503"/>
    <mergeCell ref="A504:G504"/>
    <mergeCell ref="A511:G511"/>
    <mergeCell ref="A517:G517"/>
    <mergeCell ref="A522:G522"/>
    <mergeCell ref="A524:G524"/>
    <mergeCell ref="A525:G525"/>
    <mergeCell ref="A534:G534"/>
    <mergeCell ref="A542:G542"/>
    <mergeCell ref="A551:G551"/>
    <mergeCell ref="A554:G554"/>
    <mergeCell ref="A555:G555"/>
    <mergeCell ref="A565:G565"/>
    <mergeCell ref="A570:G570"/>
    <mergeCell ref="A579:G579"/>
    <mergeCell ref="A582:G582"/>
    <mergeCell ref="A583:G583"/>
    <mergeCell ref="A592:G592"/>
    <mergeCell ref="A596:G596"/>
    <mergeCell ref="A598:G598"/>
    <mergeCell ref="A600:G600"/>
    <mergeCell ref="A601:G601"/>
    <mergeCell ref="A609:G609"/>
    <mergeCell ref="A613:G613"/>
    <mergeCell ref="A619:G619"/>
    <mergeCell ref="A620:G620"/>
    <mergeCell ref="A625:G625"/>
    <mergeCell ref="A628:G628"/>
    <mergeCell ref="A630:G630"/>
    <mergeCell ref="A633:G633"/>
    <mergeCell ref="A634:G634"/>
    <mergeCell ref="A640:G640"/>
    <mergeCell ref="A644:G644"/>
    <mergeCell ref="A650:G650"/>
    <mergeCell ref="A654:G654"/>
    <mergeCell ref="A655:G655"/>
    <mergeCell ref="A660:G660"/>
    <mergeCell ref="A665:G665"/>
    <mergeCell ref="A669:G669"/>
    <mergeCell ref="A672:G672"/>
    <mergeCell ref="A673:G673"/>
    <mergeCell ref="A680:G680"/>
    <mergeCell ref="A684:G684"/>
    <mergeCell ref="A690:G690"/>
    <mergeCell ref="A693:G693"/>
    <mergeCell ref="A694:G694"/>
    <mergeCell ref="A702:G702"/>
    <mergeCell ref="A707:G707"/>
    <mergeCell ref="A710:G710"/>
    <mergeCell ref="A713:G713"/>
    <mergeCell ref="A714:G714"/>
    <mergeCell ref="A724:G724"/>
    <mergeCell ref="A727:G727"/>
    <mergeCell ref="A731:G73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2"/>
  <sheetViews>
    <sheetView workbookViewId="0">
      <selection activeCell="H8" sqref="H8"/>
    </sheetView>
  </sheetViews>
  <sheetFormatPr defaultColWidth="9.14285714285714" defaultRowHeight="16.8" outlineLevelCol="5"/>
  <cols>
    <col min="3" max="3" width="10.1428571428571" customWidth="1"/>
    <col min="4" max="4" width="23.0714285714286" customWidth="1"/>
  </cols>
  <sheetData>
    <row r="1" ht="17.6" spans="1:6">
      <c r="A1" s="44" t="s">
        <v>631</v>
      </c>
      <c r="B1" s="45"/>
      <c r="C1" s="45"/>
      <c r="D1" s="45"/>
      <c r="E1" s="45"/>
      <c r="F1" s="46"/>
    </row>
    <row r="2" ht="17.6" spans="1:6">
      <c r="A2" s="47" t="s">
        <v>632</v>
      </c>
      <c r="B2" s="47" t="s">
        <v>633</v>
      </c>
      <c r="C2" s="47" t="s">
        <v>634</v>
      </c>
      <c r="D2" s="47" t="s">
        <v>635</v>
      </c>
      <c r="E2" s="47" t="s">
        <v>636</v>
      </c>
      <c r="F2" s="48" t="s">
        <v>637</v>
      </c>
    </row>
    <row r="3" ht="17.6" spans="1:6">
      <c r="A3" s="14" t="s">
        <v>638</v>
      </c>
      <c r="B3" s="14">
        <v>1</v>
      </c>
      <c r="C3" s="14">
        <v>1800</v>
      </c>
      <c r="D3" s="14">
        <v>15</v>
      </c>
      <c r="E3" s="14">
        <v>14</v>
      </c>
      <c r="F3" s="49">
        <f>C3/25*B3/7*E3+D3*6</f>
        <v>234</v>
      </c>
    </row>
    <row r="4" ht="17.6" spans="1:6">
      <c r="A4" s="14" t="s">
        <v>308</v>
      </c>
      <c r="B4" s="14">
        <v>1</v>
      </c>
      <c r="C4" s="14">
        <v>1800</v>
      </c>
      <c r="D4" s="14">
        <v>17</v>
      </c>
      <c r="E4" s="14">
        <v>17</v>
      </c>
      <c r="F4" s="49">
        <f>C4/25*B4/7*E4+D4*6</f>
        <v>276.857142857143</v>
      </c>
    </row>
    <row r="5" ht="17.6" spans="1:6">
      <c r="A5" s="44" t="s">
        <v>639</v>
      </c>
      <c r="B5" s="45"/>
      <c r="C5" s="45"/>
      <c r="D5" s="45"/>
      <c r="E5" s="45"/>
      <c r="F5" s="46"/>
    </row>
    <row r="6" ht="17.6" spans="1:6">
      <c r="A6" s="47" t="s">
        <v>632</v>
      </c>
      <c r="B6" s="47" t="s">
        <v>640</v>
      </c>
      <c r="C6" s="47" t="s">
        <v>641</v>
      </c>
      <c r="D6" s="47" t="s">
        <v>7</v>
      </c>
      <c r="E6" s="47" t="s">
        <v>642</v>
      </c>
      <c r="F6" s="47" t="s">
        <v>637</v>
      </c>
    </row>
    <row r="7" ht="17.6" spans="1:6">
      <c r="A7" s="14" t="s">
        <v>235</v>
      </c>
      <c r="B7" s="14">
        <v>1</v>
      </c>
      <c r="C7" s="14">
        <v>3</v>
      </c>
      <c r="D7" s="50">
        <v>11</v>
      </c>
      <c r="E7" s="14">
        <v>17</v>
      </c>
      <c r="F7" s="51">
        <f t="shared" ref="F7:F12" si="0">D7*B7+E7*5</f>
        <v>96</v>
      </c>
    </row>
    <row r="8" ht="17.6" spans="1:6">
      <c r="A8" s="14" t="s">
        <v>83</v>
      </c>
      <c r="B8" s="14">
        <v>1</v>
      </c>
      <c r="C8" s="14">
        <v>19</v>
      </c>
      <c r="D8" s="14">
        <v>69</v>
      </c>
      <c r="E8" s="14">
        <v>14</v>
      </c>
      <c r="F8" s="51">
        <f t="shared" si="0"/>
        <v>139</v>
      </c>
    </row>
    <row r="9" ht="17.6" spans="1:6">
      <c r="A9" s="14" t="s">
        <v>314</v>
      </c>
      <c r="B9" s="14">
        <v>1</v>
      </c>
      <c r="C9" s="14">
        <v>47</v>
      </c>
      <c r="D9" s="50">
        <v>338.2</v>
      </c>
      <c r="E9" s="50"/>
      <c r="F9" s="51">
        <f t="shared" si="0"/>
        <v>338.2</v>
      </c>
    </row>
    <row r="10" ht="17.6" spans="1:6">
      <c r="A10" s="14" t="s">
        <v>269</v>
      </c>
      <c r="B10" s="14">
        <v>1</v>
      </c>
      <c r="C10" s="14">
        <v>29</v>
      </c>
      <c r="D10" s="50">
        <v>205.5</v>
      </c>
      <c r="E10" s="50"/>
      <c r="F10" s="51">
        <f t="shared" si="0"/>
        <v>205.5</v>
      </c>
    </row>
    <row r="11" ht="17.6" spans="1:6">
      <c r="A11" s="14" t="s">
        <v>638</v>
      </c>
      <c r="B11" s="14">
        <v>1</v>
      </c>
      <c r="C11" s="14">
        <v>2</v>
      </c>
      <c r="D11" s="50">
        <v>6</v>
      </c>
      <c r="E11" s="50"/>
      <c r="F11" s="51">
        <f t="shared" si="0"/>
        <v>6</v>
      </c>
    </row>
    <row r="12" ht="17.6" spans="1:6">
      <c r="A12" s="14" t="s">
        <v>308</v>
      </c>
      <c r="B12" s="14">
        <v>1</v>
      </c>
      <c r="C12" s="14">
        <v>18</v>
      </c>
      <c r="D12" s="50">
        <v>61.5</v>
      </c>
      <c r="E12" s="50"/>
      <c r="F12" s="51">
        <f t="shared" si="0"/>
        <v>61.5</v>
      </c>
    </row>
    <row r="13" ht="17.6" spans="1:6">
      <c r="A13" s="14" t="s">
        <v>18</v>
      </c>
      <c r="B13" s="14">
        <v>1</v>
      </c>
      <c r="C13" s="14">
        <v>20</v>
      </c>
      <c r="D13" s="50">
        <v>190</v>
      </c>
      <c r="E13" s="50"/>
      <c r="F13" s="51">
        <v>190</v>
      </c>
    </row>
    <row r="14" ht="17.6" spans="1:6">
      <c r="A14" s="14" t="s">
        <v>81</v>
      </c>
      <c r="B14" s="14">
        <v>1</v>
      </c>
      <c r="C14" s="14">
        <v>37</v>
      </c>
      <c r="D14" s="52">
        <v>192.3</v>
      </c>
      <c r="E14" s="14"/>
      <c r="F14" s="52">
        <f>D14</f>
        <v>192.3</v>
      </c>
    </row>
    <row r="15" ht="17.6" spans="1:6">
      <c r="A15" s="53"/>
      <c r="B15" s="53"/>
      <c r="C15" s="53"/>
      <c r="D15" s="53"/>
      <c r="E15" s="53"/>
      <c r="F15" s="54"/>
    </row>
    <row r="16" ht="17.6" spans="1:6">
      <c r="A16" s="53"/>
      <c r="B16" s="53"/>
      <c r="C16" s="53"/>
      <c r="D16" s="53"/>
      <c r="E16" s="53"/>
      <c r="F16" s="55"/>
    </row>
    <row r="17" ht="17.6" spans="1:6">
      <c r="A17" s="44" t="s">
        <v>643</v>
      </c>
      <c r="B17" s="45"/>
      <c r="C17" s="45"/>
      <c r="D17" s="45"/>
      <c r="E17" s="45"/>
      <c r="F17" s="55"/>
    </row>
    <row r="18" ht="17.6" spans="1:6">
      <c r="A18" s="14" t="s">
        <v>83</v>
      </c>
      <c r="B18" s="56" t="s">
        <v>644</v>
      </c>
      <c r="C18" s="14"/>
      <c r="D18" s="14"/>
      <c r="E18" s="14"/>
      <c r="F18" s="52">
        <v>24</v>
      </c>
    </row>
    <row r="19" ht="17.6" spans="1:6">
      <c r="A19" s="14" t="s">
        <v>269</v>
      </c>
      <c r="B19" s="14" t="s">
        <v>645</v>
      </c>
      <c r="C19" s="14"/>
      <c r="D19" s="14"/>
      <c r="E19" s="14"/>
      <c r="F19" s="51">
        <v>5</v>
      </c>
    </row>
    <row r="20" ht="17.6" spans="1:6">
      <c r="A20" s="14" t="s">
        <v>646</v>
      </c>
      <c r="B20" s="57" t="s">
        <v>647</v>
      </c>
      <c r="C20" s="57"/>
      <c r="D20" s="57"/>
      <c r="E20" s="57"/>
      <c r="F20" s="57">
        <v>36</v>
      </c>
    </row>
    <row r="21" ht="17.6" spans="1:6">
      <c r="A21" s="14" t="s">
        <v>308</v>
      </c>
      <c r="B21" s="14" t="s">
        <v>648</v>
      </c>
      <c r="C21" s="14"/>
      <c r="D21" s="14"/>
      <c r="E21" s="14"/>
      <c r="F21" s="50">
        <v>0</v>
      </c>
    </row>
    <row r="22" ht="17.6" spans="1:6">
      <c r="A22" s="14" t="s">
        <v>308</v>
      </c>
      <c r="B22" s="14" t="s">
        <v>649</v>
      </c>
      <c r="C22" s="14"/>
      <c r="D22" s="14"/>
      <c r="E22" s="14"/>
      <c r="F22" s="50">
        <v>20</v>
      </c>
    </row>
    <row r="23" spans="1:6">
      <c r="A23" s="58"/>
      <c r="B23" s="58"/>
      <c r="C23" s="58"/>
      <c r="D23" s="58"/>
      <c r="E23" s="58"/>
      <c r="F23" s="58"/>
    </row>
    <row r="24" spans="1:6">
      <c r="A24" s="58"/>
      <c r="B24" s="58"/>
      <c r="C24" s="58"/>
      <c r="D24" s="58"/>
      <c r="E24" s="58"/>
      <c r="F24" s="58"/>
    </row>
    <row r="25" spans="1:6">
      <c r="A25" s="58"/>
      <c r="B25" s="58"/>
      <c r="C25" s="58"/>
      <c r="D25" s="58"/>
      <c r="E25" s="58"/>
      <c r="F25" s="58"/>
    </row>
    <row r="26" spans="1:6">
      <c r="A26" s="58"/>
      <c r="B26" s="59" t="s">
        <v>650</v>
      </c>
      <c r="C26" s="59"/>
      <c r="D26" s="58"/>
      <c r="E26" s="58"/>
      <c r="F26" s="58"/>
    </row>
    <row r="27" ht="17.6" spans="1:6">
      <c r="A27" s="58"/>
      <c r="B27" s="60" t="s">
        <v>235</v>
      </c>
      <c r="C27" s="61">
        <f>F7</f>
        <v>96</v>
      </c>
      <c r="D27" s="58"/>
      <c r="E27" s="58"/>
      <c r="F27" s="58"/>
    </row>
    <row r="28" spans="1:6">
      <c r="A28" s="58"/>
      <c r="B28" s="62" t="s">
        <v>83</v>
      </c>
      <c r="C28" s="62">
        <f>F8+F18</f>
        <v>163</v>
      </c>
      <c r="D28" s="58"/>
      <c r="E28" s="58"/>
      <c r="F28" s="58"/>
    </row>
    <row r="29" spans="1:6">
      <c r="A29" s="58"/>
      <c r="B29" s="62" t="s">
        <v>314</v>
      </c>
      <c r="C29" s="62">
        <f>F9</f>
        <v>338.2</v>
      </c>
      <c r="D29" s="58"/>
      <c r="E29" s="58"/>
      <c r="F29" s="58"/>
    </row>
    <row r="30" spans="1:6">
      <c r="A30" s="58"/>
      <c r="B30" s="62" t="s">
        <v>269</v>
      </c>
      <c r="C30" s="62">
        <f>F10+F19</f>
        <v>210.5</v>
      </c>
      <c r="D30" s="58"/>
      <c r="E30" s="58"/>
      <c r="F30" s="58"/>
    </row>
    <row r="31" spans="1:6">
      <c r="A31" s="58"/>
      <c r="B31" s="62" t="s">
        <v>638</v>
      </c>
      <c r="C31" s="62">
        <f>F3+F11</f>
        <v>240</v>
      </c>
      <c r="D31" s="58"/>
      <c r="E31" s="58"/>
      <c r="F31" s="58"/>
    </row>
    <row r="32" ht="17.6" spans="1:6">
      <c r="A32" s="58"/>
      <c r="B32" s="62" t="s">
        <v>308</v>
      </c>
      <c r="C32" s="61">
        <f>F12+F4+F21+F22</f>
        <v>358.357142857143</v>
      </c>
      <c r="D32" s="58"/>
      <c r="E32" s="58"/>
      <c r="F32" s="58"/>
    </row>
    <row r="33" ht="17.6" spans="1:6">
      <c r="A33" s="58"/>
      <c r="B33" s="62" t="s">
        <v>81</v>
      </c>
      <c r="C33" s="61">
        <f>F14</f>
        <v>192.3</v>
      </c>
      <c r="D33" s="58"/>
      <c r="E33" s="58"/>
      <c r="F33" s="58"/>
    </row>
    <row r="34" ht="17.6" spans="1:6">
      <c r="A34" s="63"/>
      <c r="B34" s="62" t="s">
        <v>18</v>
      </c>
      <c r="C34" s="61">
        <f>F13</f>
        <v>190</v>
      </c>
      <c r="D34" s="63"/>
      <c r="E34" s="63"/>
      <c r="F34" s="63"/>
    </row>
    <row r="35" ht="17.6" spans="1:6">
      <c r="A35" s="58"/>
      <c r="B35" s="60" t="s">
        <v>646</v>
      </c>
      <c r="C35" s="61">
        <v>36</v>
      </c>
      <c r="D35" s="58"/>
      <c r="E35" s="58"/>
      <c r="F35" s="58"/>
    </row>
    <row r="36" spans="1:6">
      <c r="A36" s="63"/>
      <c r="B36" s="64"/>
      <c r="C36" s="64"/>
      <c r="D36" s="63"/>
      <c r="E36" s="63"/>
      <c r="F36" s="63"/>
    </row>
    <row r="37" spans="1:6">
      <c r="A37" s="58"/>
      <c r="B37" s="65" t="s">
        <v>651</v>
      </c>
      <c r="C37" s="65"/>
      <c r="D37" s="58"/>
      <c r="E37" s="58"/>
      <c r="F37" s="58"/>
    </row>
    <row r="38" ht="17.6" spans="1:6">
      <c r="A38" s="58"/>
      <c r="B38" s="14" t="s">
        <v>603</v>
      </c>
      <c r="C38" s="14">
        <v>12</v>
      </c>
      <c r="D38" s="58"/>
      <c r="E38" s="58"/>
      <c r="F38" s="58"/>
    </row>
    <row r="39" ht="17.6" spans="1:6">
      <c r="A39" s="58"/>
      <c r="B39" s="14" t="s">
        <v>652</v>
      </c>
      <c r="C39" s="14">
        <v>8</v>
      </c>
      <c r="D39" s="58"/>
      <c r="E39" s="58"/>
      <c r="F39" s="58"/>
    </row>
    <row r="40" ht="17.6" spans="1:6">
      <c r="A40" s="58"/>
      <c r="B40" s="14" t="s">
        <v>413</v>
      </c>
      <c r="C40" s="14">
        <v>28</v>
      </c>
      <c r="D40" s="58"/>
      <c r="E40" s="58"/>
      <c r="F40" s="58"/>
    </row>
    <row r="41" ht="17.6" spans="1:6">
      <c r="A41" s="58"/>
      <c r="B41" s="14" t="s">
        <v>653</v>
      </c>
      <c r="C41" s="14">
        <v>20</v>
      </c>
      <c r="D41" s="58"/>
      <c r="E41" s="58"/>
      <c r="F41" s="58"/>
    </row>
    <row r="42" ht="17.6" spans="1:6">
      <c r="A42" s="58"/>
      <c r="B42" s="14" t="s">
        <v>421</v>
      </c>
      <c r="C42" s="14">
        <v>107.5</v>
      </c>
      <c r="D42" s="58"/>
      <c r="E42" s="58"/>
      <c r="F42" s="58"/>
    </row>
    <row r="43" ht="17.6" spans="1:6">
      <c r="A43" s="58"/>
      <c r="B43" s="14" t="s">
        <v>654</v>
      </c>
      <c r="C43" s="14">
        <v>20</v>
      </c>
      <c r="D43" s="58"/>
      <c r="E43" s="58"/>
      <c r="F43" s="58"/>
    </row>
    <row r="44" ht="17.6" spans="1:6">
      <c r="A44" s="43"/>
      <c r="B44" s="14" t="s">
        <v>589</v>
      </c>
      <c r="C44" s="14">
        <v>14.5</v>
      </c>
      <c r="D44" s="43"/>
      <c r="E44" s="43"/>
      <c r="F44" s="43"/>
    </row>
    <row r="45" ht="17.6" spans="1:6">
      <c r="A45" s="43"/>
      <c r="B45" s="14" t="s">
        <v>150</v>
      </c>
      <c r="C45" s="14">
        <v>14</v>
      </c>
      <c r="D45" s="43"/>
      <c r="E45" s="43"/>
      <c r="F45" s="43"/>
    </row>
    <row r="46" ht="17.6" spans="1:6">
      <c r="A46" s="43"/>
      <c r="B46" s="14" t="s">
        <v>655</v>
      </c>
      <c r="C46" s="14">
        <v>82</v>
      </c>
      <c r="D46" s="43"/>
      <c r="E46" s="43"/>
      <c r="F46" s="43"/>
    </row>
    <row r="47" ht="17.6" spans="1:6">
      <c r="A47" s="43"/>
      <c r="B47" s="14" t="s">
        <v>656</v>
      </c>
      <c r="C47" s="14">
        <v>4</v>
      </c>
      <c r="D47" s="43"/>
      <c r="E47" s="43"/>
      <c r="F47" s="43"/>
    </row>
    <row r="48" ht="17.6" spans="1:6">
      <c r="A48" s="43"/>
      <c r="B48" s="14" t="s">
        <v>657</v>
      </c>
      <c r="C48" s="14">
        <v>16</v>
      </c>
      <c r="D48" s="43"/>
      <c r="E48" s="43"/>
      <c r="F48" s="43"/>
    </row>
    <row r="49" ht="17.6" spans="1:6">
      <c r="A49" s="43"/>
      <c r="B49" s="14" t="s">
        <v>601</v>
      </c>
      <c r="C49" s="14">
        <v>20</v>
      </c>
      <c r="D49" s="43"/>
      <c r="E49" s="43"/>
      <c r="F49" s="43"/>
    </row>
    <row r="50" ht="17.6" spans="1:6">
      <c r="A50" s="43"/>
      <c r="B50" s="14" t="s">
        <v>658</v>
      </c>
      <c r="C50" s="14">
        <v>32</v>
      </c>
      <c r="D50" s="43"/>
      <c r="E50" s="43"/>
      <c r="F50" s="43"/>
    </row>
    <row r="51" ht="17.6" spans="1:6">
      <c r="A51" s="43"/>
      <c r="B51" s="14" t="s">
        <v>409</v>
      </c>
      <c r="C51" s="14">
        <v>68</v>
      </c>
      <c r="D51" s="43"/>
      <c r="E51" s="43"/>
      <c r="F51" s="43"/>
    </row>
    <row r="52" ht="17.6" spans="1:6">
      <c r="A52" s="43"/>
      <c r="B52" s="14" t="s">
        <v>659</v>
      </c>
      <c r="C52" s="14">
        <v>8</v>
      </c>
      <c r="D52" s="43"/>
      <c r="E52" s="43"/>
      <c r="F52" s="43"/>
    </row>
  </sheetData>
  <mergeCells count="10">
    <mergeCell ref="A1:F1"/>
    <mergeCell ref="A5:F5"/>
    <mergeCell ref="A17:F17"/>
    <mergeCell ref="B18:E18"/>
    <mergeCell ref="B19:E19"/>
    <mergeCell ref="B20:E20"/>
    <mergeCell ref="B21:E21"/>
    <mergeCell ref="B22:E22"/>
    <mergeCell ref="B26:C26"/>
    <mergeCell ref="B37:C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workbookViewId="0">
      <selection activeCell="F15" sqref="F15"/>
    </sheetView>
  </sheetViews>
  <sheetFormatPr defaultColWidth="9.14285714285714" defaultRowHeight="16.8" outlineLevelCol="5"/>
  <cols>
    <col min="2" max="2" width="63.8571428571429" customWidth="1"/>
  </cols>
  <sheetData>
    <row r="1" ht="34.4" spans="1:6">
      <c r="A1" s="24" t="s">
        <v>660</v>
      </c>
      <c r="B1" s="25"/>
      <c r="C1" s="26"/>
      <c r="D1" s="25"/>
      <c r="E1" s="25"/>
      <c r="F1" s="27"/>
    </row>
    <row r="2" ht="17.6" spans="1:6">
      <c r="A2" s="28" t="s">
        <v>2</v>
      </c>
      <c r="B2" s="29" t="s">
        <v>661</v>
      </c>
      <c r="C2" s="2" t="s">
        <v>5</v>
      </c>
      <c r="D2" s="30" t="s">
        <v>662</v>
      </c>
      <c r="E2" s="30" t="s">
        <v>663</v>
      </c>
      <c r="F2" s="31" t="s">
        <v>8</v>
      </c>
    </row>
    <row r="3" ht="17.6" spans="1:6">
      <c r="A3" s="14"/>
      <c r="B3" s="32" t="s">
        <v>664</v>
      </c>
      <c r="C3" s="33">
        <v>12233</v>
      </c>
      <c r="D3" s="34" t="s">
        <v>150</v>
      </c>
      <c r="E3" s="35">
        <v>5</v>
      </c>
      <c r="F3" s="36"/>
    </row>
    <row r="4" ht="18" spans="1:6">
      <c r="A4" s="37"/>
      <c r="B4" s="32" t="s">
        <v>160</v>
      </c>
      <c r="C4" s="33">
        <v>10000</v>
      </c>
      <c r="D4" s="34" t="s">
        <v>150</v>
      </c>
      <c r="E4" s="35">
        <v>5</v>
      </c>
      <c r="F4" s="36"/>
    </row>
    <row r="5" ht="18" spans="1:6">
      <c r="A5" s="37"/>
      <c r="B5" s="38" t="s">
        <v>665</v>
      </c>
      <c r="C5" s="39">
        <v>7780</v>
      </c>
      <c r="D5" s="34" t="s">
        <v>150</v>
      </c>
      <c r="E5" s="40">
        <v>2</v>
      </c>
      <c r="F5" s="36"/>
    </row>
    <row r="6" ht="17.6" spans="1:6">
      <c r="A6" s="37"/>
      <c r="B6" s="38" t="s">
        <v>666</v>
      </c>
      <c r="C6" s="39">
        <v>7806</v>
      </c>
      <c r="D6" s="34" t="s">
        <v>150</v>
      </c>
      <c r="E6" s="40">
        <v>2</v>
      </c>
      <c r="F6" s="36"/>
    </row>
    <row r="7" ht="17.6" spans="1:6">
      <c r="A7" s="37"/>
      <c r="B7" s="38" t="s">
        <v>334</v>
      </c>
      <c r="C7" s="39">
        <v>5835</v>
      </c>
      <c r="D7" s="34" t="s">
        <v>327</v>
      </c>
      <c r="E7" s="40">
        <v>2</v>
      </c>
      <c r="F7" s="36"/>
    </row>
    <row r="8" spans="1:6">
      <c r="A8" s="41"/>
      <c r="B8" s="41" t="s">
        <v>464</v>
      </c>
      <c r="C8" s="42">
        <v>7197</v>
      </c>
      <c r="D8" s="42" t="s">
        <v>667</v>
      </c>
      <c r="E8" s="42">
        <v>2</v>
      </c>
      <c r="F8" s="41"/>
    </row>
    <row r="9" spans="1:6">
      <c r="A9" s="41"/>
      <c r="B9" s="41" t="s">
        <v>483</v>
      </c>
      <c r="C9" s="42">
        <v>6715</v>
      </c>
      <c r="D9" s="42" t="s">
        <v>327</v>
      </c>
      <c r="E9" s="42">
        <v>2</v>
      </c>
      <c r="F9" s="41"/>
    </row>
    <row r="10" spans="1:6">
      <c r="A10" s="41"/>
      <c r="B10" s="41" t="s">
        <v>543</v>
      </c>
      <c r="C10" s="42">
        <v>11551</v>
      </c>
      <c r="D10" s="42" t="s">
        <v>327</v>
      </c>
      <c r="E10" s="42">
        <v>5</v>
      </c>
      <c r="F10" s="41"/>
    </row>
    <row r="11" spans="1:6">
      <c r="A11" s="43"/>
      <c r="B11" s="43"/>
      <c r="C11" s="43"/>
      <c r="D11" s="43"/>
      <c r="E11" s="43"/>
      <c r="F11" s="43"/>
    </row>
  </sheetData>
  <mergeCells count="1">
    <mergeCell ref="A1:F1"/>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8"/>
  <sheetViews>
    <sheetView tabSelected="1" topLeftCell="A28" workbookViewId="0">
      <selection activeCell="I49" sqref="I49"/>
    </sheetView>
  </sheetViews>
  <sheetFormatPr defaultColWidth="9.14285714285714" defaultRowHeight="16.8" outlineLevelCol="6"/>
  <sheetData>
    <row r="1" ht="28.8" spans="1:7">
      <c r="A1" s="1" t="s">
        <v>668</v>
      </c>
      <c r="B1" s="1"/>
      <c r="C1" s="1"/>
      <c r="D1" s="1"/>
      <c r="E1" s="1"/>
      <c r="F1" s="1"/>
      <c r="G1" s="1"/>
    </row>
    <row r="2" ht="31" spans="1:7">
      <c r="A2" s="2"/>
      <c r="B2" s="3" t="s">
        <v>632</v>
      </c>
      <c r="C2" s="4" t="s">
        <v>669</v>
      </c>
      <c r="D2" s="4" t="s">
        <v>670</v>
      </c>
      <c r="E2" s="4" t="s">
        <v>671</v>
      </c>
      <c r="F2" s="4" t="s">
        <v>672</v>
      </c>
      <c r="G2" s="5" t="s">
        <v>637</v>
      </c>
    </row>
    <row r="3" ht="17" spans="1:7">
      <c r="A3" s="6">
        <v>1</v>
      </c>
      <c r="B3" s="7" t="s">
        <v>659</v>
      </c>
      <c r="C3" s="8">
        <v>40</v>
      </c>
      <c r="D3" s="9"/>
      <c r="E3" s="10">
        <v>8</v>
      </c>
      <c r="F3" s="9"/>
      <c r="G3" s="11">
        <f t="shared" ref="G3:G45" si="0">C3/25+F3+E3+D3</f>
        <v>9.6</v>
      </c>
    </row>
    <row r="4" ht="17" spans="1:7">
      <c r="A4" s="6">
        <v>2</v>
      </c>
      <c r="B4" s="7" t="s">
        <v>81</v>
      </c>
      <c r="C4" s="8">
        <v>40</v>
      </c>
      <c r="D4" s="9"/>
      <c r="E4" s="10"/>
      <c r="F4" s="9"/>
      <c r="G4" s="11">
        <f t="shared" si="0"/>
        <v>1.6</v>
      </c>
    </row>
    <row r="5" ht="17" spans="1:7">
      <c r="A5" s="6">
        <v>3</v>
      </c>
      <c r="B5" s="7" t="s">
        <v>327</v>
      </c>
      <c r="C5" s="8">
        <v>40</v>
      </c>
      <c r="D5" s="9">
        <v>10</v>
      </c>
      <c r="E5" s="10">
        <v>72</v>
      </c>
      <c r="F5" s="9"/>
      <c r="G5" s="11">
        <f t="shared" si="0"/>
        <v>83.6</v>
      </c>
    </row>
    <row r="6" ht="17" spans="1:7">
      <c r="A6" s="6">
        <v>4</v>
      </c>
      <c r="B6" s="7" t="s">
        <v>673</v>
      </c>
      <c r="C6" s="8">
        <v>40</v>
      </c>
      <c r="D6" s="9"/>
      <c r="E6" s="10"/>
      <c r="F6" s="9"/>
      <c r="G6" s="11">
        <f t="shared" si="0"/>
        <v>1.6</v>
      </c>
    </row>
    <row r="7" ht="17" spans="1:7">
      <c r="A7" s="6">
        <v>5</v>
      </c>
      <c r="B7" s="7" t="s">
        <v>674</v>
      </c>
      <c r="C7" s="8">
        <v>40</v>
      </c>
      <c r="D7" s="9"/>
      <c r="E7" s="10"/>
      <c r="F7" s="9"/>
      <c r="G7" s="11">
        <f t="shared" si="0"/>
        <v>1.6</v>
      </c>
    </row>
    <row r="8" ht="17" spans="1:7">
      <c r="A8" s="6">
        <v>6</v>
      </c>
      <c r="B8" s="7" t="s">
        <v>675</v>
      </c>
      <c r="C8" s="8">
        <v>40</v>
      </c>
      <c r="D8" s="9"/>
      <c r="E8" s="10"/>
      <c r="F8" s="9"/>
      <c r="G8" s="11">
        <f t="shared" si="0"/>
        <v>1.6</v>
      </c>
    </row>
    <row r="9" ht="17" spans="1:7">
      <c r="A9" s="6">
        <v>7</v>
      </c>
      <c r="B9" s="7" t="s">
        <v>654</v>
      </c>
      <c r="C9" s="6">
        <v>40</v>
      </c>
      <c r="D9" s="9"/>
      <c r="E9" s="10">
        <v>20</v>
      </c>
      <c r="F9" s="12"/>
      <c r="G9" s="11">
        <f t="shared" si="0"/>
        <v>21.6</v>
      </c>
    </row>
    <row r="10" ht="17" spans="1:7">
      <c r="A10" s="6">
        <v>8</v>
      </c>
      <c r="B10" s="7" t="s">
        <v>150</v>
      </c>
      <c r="C10" s="8">
        <v>40</v>
      </c>
      <c r="D10" s="9">
        <v>14</v>
      </c>
      <c r="E10" s="10"/>
      <c r="F10" s="9"/>
      <c r="G10" s="11">
        <f t="shared" si="0"/>
        <v>15.6</v>
      </c>
    </row>
    <row r="11" ht="17" spans="1:7">
      <c r="A11" s="6">
        <v>9</v>
      </c>
      <c r="B11" s="7" t="s">
        <v>653</v>
      </c>
      <c r="C11" s="8">
        <v>40</v>
      </c>
      <c r="D11" s="9"/>
      <c r="E11" s="10"/>
      <c r="F11" s="9"/>
      <c r="G11" s="11">
        <f t="shared" si="0"/>
        <v>1.6</v>
      </c>
    </row>
    <row r="12" ht="17" spans="1:7">
      <c r="A12" s="6">
        <v>10</v>
      </c>
      <c r="B12" s="7" t="s">
        <v>676</v>
      </c>
      <c r="C12" s="8">
        <v>40</v>
      </c>
      <c r="D12" s="9"/>
      <c r="E12" s="10"/>
      <c r="F12" s="9"/>
      <c r="G12" s="11">
        <f t="shared" si="0"/>
        <v>1.6</v>
      </c>
    </row>
    <row r="13" ht="17" spans="1:7">
      <c r="A13" s="6">
        <v>11</v>
      </c>
      <c r="B13" s="7" t="s">
        <v>677</v>
      </c>
      <c r="C13" s="8">
        <v>40</v>
      </c>
      <c r="D13" s="9"/>
      <c r="E13" s="10"/>
      <c r="F13" s="9"/>
      <c r="G13" s="11">
        <f t="shared" si="0"/>
        <v>1.6</v>
      </c>
    </row>
    <row r="14" ht="17" spans="1:7">
      <c r="A14" s="6">
        <v>12</v>
      </c>
      <c r="B14" s="7" t="s">
        <v>314</v>
      </c>
      <c r="C14" s="8">
        <v>40</v>
      </c>
      <c r="D14" s="9"/>
      <c r="E14" s="10"/>
      <c r="F14" s="13"/>
      <c r="G14" s="11">
        <f t="shared" si="0"/>
        <v>1.6</v>
      </c>
    </row>
    <row r="15" ht="17" spans="1:7">
      <c r="A15" s="6">
        <v>13</v>
      </c>
      <c r="B15" s="7" t="s">
        <v>678</v>
      </c>
      <c r="C15" s="8">
        <v>40</v>
      </c>
      <c r="D15" s="9"/>
      <c r="E15" s="10"/>
      <c r="F15" s="9"/>
      <c r="G15" s="11">
        <f t="shared" si="0"/>
        <v>1.6</v>
      </c>
    </row>
    <row r="16" ht="17" spans="1:7">
      <c r="A16" s="6">
        <v>14</v>
      </c>
      <c r="B16" s="7" t="s">
        <v>656</v>
      </c>
      <c r="C16" s="8">
        <v>40</v>
      </c>
      <c r="D16" s="9"/>
      <c r="E16" s="10">
        <v>4</v>
      </c>
      <c r="F16" s="9"/>
      <c r="G16" s="11">
        <f t="shared" si="0"/>
        <v>5.6</v>
      </c>
    </row>
    <row r="17" ht="17.6" spans="1:7">
      <c r="A17" s="6">
        <v>15</v>
      </c>
      <c r="B17" s="7" t="s">
        <v>679</v>
      </c>
      <c r="C17" s="8">
        <v>40</v>
      </c>
      <c r="D17" s="9"/>
      <c r="E17" s="14"/>
      <c r="F17" s="9"/>
      <c r="G17" s="11">
        <f t="shared" si="0"/>
        <v>1.6</v>
      </c>
    </row>
    <row r="18" ht="17" spans="1:7">
      <c r="A18" s="6">
        <v>16</v>
      </c>
      <c r="B18" s="7" t="s">
        <v>235</v>
      </c>
      <c r="C18" s="8">
        <v>40</v>
      </c>
      <c r="D18" s="9"/>
      <c r="E18" s="10"/>
      <c r="F18" s="9"/>
      <c r="G18" s="11">
        <f t="shared" si="0"/>
        <v>1.6</v>
      </c>
    </row>
    <row r="19" ht="17" spans="1:7">
      <c r="A19" s="6">
        <v>17</v>
      </c>
      <c r="B19" s="7" t="s">
        <v>680</v>
      </c>
      <c r="C19" s="8">
        <v>40</v>
      </c>
      <c r="D19" s="9"/>
      <c r="E19" s="10"/>
      <c r="F19" s="9"/>
      <c r="G19" s="11">
        <f t="shared" si="0"/>
        <v>1.6</v>
      </c>
    </row>
    <row r="20" ht="17" spans="1:7">
      <c r="A20" s="6">
        <v>18</v>
      </c>
      <c r="B20" s="7" t="s">
        <v>421</v>
      </c>
      <c r="C20" s="8">
        <v>40</v>
      </c>
      <c r="D20" s="9"/>
      <c r="E20" s="10">
        <v>107.5</v>
      </c>
      <c r="F20" s="9"/>
      <c r="G20" s="11">
        <f t="shared" si="0"/>
        <v>109.1</v>
      </c>
    </row>
    <row r="21" ht="17" spans="1:7">
      <c r="A21" s="6">
        <v>19</v>
      </c>
      <c r="B21" s="7" t="s">
        <v>681</v>
      </c>
      <c r="C21" s="8">
        <v>40</v>
      </c>
      <c r="D21" s="9"/>
      <c r="E21" s="10"/>
      <c r="F21" s="9"/>
      <c r="G21" s="11">
        <f t="shared" si="0"/>
        <v>1.6</v>
      </c>
    </row>
    <row r="22" ht="17" spans="1:7">
      <c r="A22" s="6">
        <v>20</v>
      </c>
      <c r="B22" s="7" t="s">
        <v>682</v>
      </c>
      <c r="C22" s="6">
        <v>40</v>
      </c>
      <c r="D22" s="9"/>
      <c r="E22" s="10"/>
      <c r="F22" s="9"/>
      <c r="G22" s="11">
        <f t="shared" si="0"/>
        <v>1.6</v>
      </c>
    </row>
    <row r="23" ht="17" spans="1:7">
      <c r="A23" s="6">
        <v>21</v>
      </c>
      <c r="B23" s="7" t="s">
        <v>658</v>
      </c>
      <c r="C23" s="8">
        <v>40</v>
      </c>
      <c r="D23" s="9"/>
      <c r="E23" s="10">
        <v>32</v>
      </c>
      <c r="F23" s="15"/>
      <c r="G23" s="11">
        <f t="shared" si="0"/>
        <v>33.6</v>
      </c>
    </row>
    <row r="24" ht="17" spans="1:7">
      <c r="A24" s="6">
        <v>22</v>
      </c>
      <c r="B24" s="7" t="s">
        <v>589</v>
      </c>
      <c r="C24" s="8">
        <v>40</v>
      </c>
      <c r="D24" s="9"/>
      <c r="E24" s="10">
        <v>14.5</v>
      </c>
      <c r="F24" s="9"/>
      <c r="G24" s="11">
        <f t="shared" si="0"/>
        <v>16.1</v>
      </c>
    </row>
    <row r="25" ht="17" spans="1:7">
      <c r="A25" s="6">
        <v>23</v>
      </c>
      <c r="B25" s="7" t="s">
        <v>603</v>
      </c>
      <c r="C25" s="8">
        <v>40</v>
      </c>
      <c r="D25" s="9"/>
      <c r="E25" s="10">
        <v>12</v>
      </c>
      <c r="F25" s="9"/>
      <c r="G25" s="11">
        <f t="shared" si="0"/>
        <v>13.6</v>
      </c>
    </row>
    <row r="26" ht="17" spans="1:7">
      <c r="A26" s="6">
        <v>24</v>
      </c>
      <c r="B26" s="7" t="s">
        <v>269</v>
      </c>
      <c r="C26" s="8">
        <v>40</v>
      </c>
      <c r="D26" s="9"/>
      <c r="E26" s="10"/>
      <c r="F26" s="9"/>
      <c r="G26" s="11">
        <f t="shared" si="0"/>
        <v>1.6</v>
      </c>
    </row>
    <row r="27" ht="17" spans="1:7">
      <c r="A27" s="6">
        <v>25</v>
      </c>
      <c r="B27" s="7" t="s">
        <v>683</v>
      </c>
      <c r="C27" s="8">
        <v>40</v>
      </c>
      <c r="D27" s="9"/>
      <c r="E27" s="10"/>
      <c r="F27" s="9"/>
      <c r="G27" s="11">
        <f t="shared" si="0"/>
        <v>1.6</v>
      </c>
    </row>
    <row r="28" ht="17" spans="1:7">
      <c r="A28" s="6">
        <v>26</v>
      </c>
      <c r="B28" s="7" t="s">
        <v>684</v>
      </c>
      <c r="C28" s="8">
        <v>40</v>
      </c>
      <c r="D28" s="9"/>
      <c r="E28" s="10"/>
      <c r="F28" s="9"/>
      <c r="G28" s="11">
        <f t="shared" si="0"/>
        <v>1.6</v>
      </c>
    </row>
    <row r="29" ht="17" spans="1:7">
      <c r="A29" s="6">
        <v>27</v>
      </c>
      <c r="B29" s="7" t="s">
        <v>685</v>
      </c>
      <c r="C29" s="8">
        <v>40</v>
      </c>
      <c r="D29" s="9"/>
      <c r="E29" s="10"/>
      <c r="F29" s="13"/>
      <c r="G29" s="11">
        <f t="shared" si="0"/>
        <v>1.6</v>
      </c>
    </row>
    <row r="30" ht="17" spans="1:7">
      <c r="A30" s="6">
        <v>28</v>
      </c>
      <c r="B30" s="7" t="s">
        <v>83</v>
      </c>
      <c r="C30" s="8">
        <v>40</v>
      </c>
      <c r="D30" s="9"/>
      <c r="E30" s="10"/>
      <c r="F30" s="9"/>
      <c r="G30" s="11">
        <f t="shared" si="0"/>
        <v>1.6</v>
      </c>
    </row>
    <row r="31" ht="17" spans="1:7">
      <c r="A31" s="6">
        <v>29</v>
      </c>
      <c r="B31" s="7" t="s">
        <v>686</v>
      </c>
      <c r="C31" s="8">
        <v>40</v>
      </c>
      <c r="D31" s="9"/>
      <c r="E31" s="10"/>
      <c r="F31" s="13"/>
      <c r="G31" s="11">
        <f t="shared" si="0"/>
        <v>1.6</v>
      </c>
    </row>
    <row r="32" ht="17" spans="1:7">
      <c r="A32" s="6">
        <v>30</v>
      </c>
      <c r="B32" s="7" t="s">
        <v>638</v>
      </c>
      <c r="C32" s="8">
        <v>40</v>
      </c>
      <c r="D32" s="9"/>
      <c r="E32" s="10"/>
      <c r="F32" s="9"/>
      <c r="G32" s="11">
        <f t="shared" si="0"/>
        <v>1.6</v>
      </c>
    </row>
    <row r="33" ht="17" spans="1:7">
      <c r="A33" s="6">
        <v>31</v>
      </c>
      <c r="B33" s="7" t="s">
        <v>687</v>
      </c>
      <c r="C33" s="16">
        <v>40</v>
      </c>
      <c r="D33" s="9"/>
      <c r="E33" s="10"/>
      <c r="F33" s="9"/>
      <c r="G33" s="11">
        <f t="shared" si="0"/>
        <v>1.6</v>
      </c>
    </row>
    <row r="34" ht="17" spans="1:7">
      <c r="A34" s="6">
        <v>32</v>
      </c>
      <c r="B34" s="7" t="s">
        <v>688</v>
      </c>
      <c r="C34" s="16">
        <v>40</v>
      </c>
      <c r="D34" s="9"/>
      <c r="E34" s="10"/>
      <c r="F34" s="9"/>
      <c r="G34" s="11">
        <f t="shared" si="0"/>
        <v>1.6</v>
      </c>
    </row>
    <row r="35" ht="17" spans="1:7">
      <c r="A35" s="6">
        <v>33</v>
      </c>
      <c r="B35" s="7" t="s">
        <v>689</v>
      </c>
      <c r="C35" s="8">
        <v>40</v>
      </c>
      <c r="D35" s="17"/>
      <c r="E35" s="18"/>
      <c r="F35" s="17"/>
      <c r="G35" s="11">
        <f t="shared" si="0"/>
        <v>1.6</v>
      </c>
    </row>
    <row r="36" ht="17" spans="1:7">
      <c r="A36" s="6">
        <v>34</v>
      </c>
      <c r="B36" s="7" t="s">
        <v>308</v>
      </c>
      <c r="C36" s="8">
        <v>40</v>
      </c>
      <c r="D36" s="9"/>
      <c r="E36" s="10"/>
      <c r="F36" s="9"/>
      <c r="G36" s="11">
        <f t="shared" si="0"/>
        <v>1.6</v>
      </c>
    </row>
    <row r="37" ht="17" spans="1:7">
      <c r="A37" s="6">
        <v>35</v>
      </c>
      <c r="B37" s="19" t="s">
        <v>690</v>
      </c>
      <c r="C37" s="16">
        <v>40</v>
      </c>
      <c r="D37" s="9"/>
      <c r="E37" s="10"/>
      <c r="F37" s="9"/>
      <c r="G37" s="11">
        <f t="shared" si="0"/>
        <v>1.6</v>
      </c>
    </row>
    <row r="38" ht="17" spans="1:7">
      <c r="A38" s="6">
        <v>36</v>
      </c>
      <c r="B38" s="19" t="s">
        <v>691</v>
      </c>
      <c r="C38" s="20">
        <v>40</v>
      </c>
      <c r="D38" s="13"/>
      <c r="E38" s="21"/>
      <c r="F38" s="13"/>
      <c r="G38" s="11">
        <f t="shared" si="0"/>
        <v>1.6</v>
      </c>
    </row>
    <row r="39" ht="17" spans="1:7">
      <c r="A39" s="6">
        <v>37</v>
      </c>
      <c r="B39" s="19" t="s">
        <v>646</v>
      </c>
      <c r="C39" s="20">
        <v>40</v>
      </c>
      <c r="D39" s="13"/>
      <c r="E39" s="21"/>
      <c r="F39" s="13"/>
      <c r="G39" s="11">
        <f t="shared" si="0"/>
        <v>1.6</v>
      </c>
    </row>
    <row r="40" ht="17" spans="1:7">
      <c r="A40" s="6">
        <v>38</v>
      </c>
      <c r="B40" s="7" t="s">
        <v>409</v>
      </c>
      <c r="C40" s="22">
        <v>40</v>
      </c>
      <c r="D40" s="13"/>
      <c r="E40" s="21">
        <v>68</v>
      </c>
      <c r="F40" s="13"/>
      <c r="G40" s="11">
        <f t="shared" si="0"/>
        <v>69.6</v>
      </c>
    </row>
    <row r="41" ht="17" spans="1:7">
      <c r="A41" s="6">
        <v>39</v>
      </c>
      <c r="B41" s="7" t="s">
        <v>413</v>
      </c>
      <c r="C41" s="22">
        <v>40</v>
      </c>
      <c r="D41" s="13"/>
      <c r="E41" s="21">
        <v>28</v>
      </c>
      <c r="F41" s="13"/>
      <c r="G41" s="11">
        <f t="shared" si="0"/>
        <v>29.6</v>
      </c>
    </row>
    <row r="42" ht="17" spans="1:7">
      <c r="A42" s="6">
        <v>40</v>
      </c>
      <c r="B42" s="7" t="s">
        <v>601</v>
      </c>
      <c r="C42" s="22">
        <v>40</v>
      </c>
      <c r="D42" s="13"/>
      <c r="E42" s="21">
        <v>20</v>
      </c>
      <c r="F42" s="13"/>
      <c r="G42" s="11">
        <f t="shared" si="0"/>
        <v>21.6</v>
      </c>
    </row>
    <row r="43" ht="17" spans="1:7">
      <c r="A43" s="6">
        <v>41</v>
      </c>
      <c r="B43" s="7" t="s">
        <v>652</v>
      </c>
      <c r="C43" s="22">
        <v>40</v>
      </c>
      <c r="D43" s="13"/>
      <c r="E43" s="21">
        <v>8</v>
      </c>
      <c r="F43" s="13"/>
      <c r="G43" s="11">
        <f t="shared" si="0"/>
        <v>9.6</v>
      </c>
    </row>
    <row r="44" ht="17" spans="1:7">
      <c r="A44" s="6">
        <v>42</v>
      </c>
      <c r="B44" s="7" t="s">
        <v>657</v>
      </c>
      <c r="C44" s="22">
        <v>40</v>
      </c>
      <c r="D44" s="13"/>
      <c r="E44" s="21">
        <v>16</v>
      </c>
      <c r="F44" s="13"/>
      <c r="G44" s="11">
        <f t="shared" si="0"/>
        <v>17.6</v>
      </c>
    </row>
    <row r="45" ht="17" spans="1:7">
      <c r="A45" s="6">
        <v>43</v>
      </c>
      <c r="B45" s="7" t="s">
        <v>692</v>
      </c>
      <c r="C45" s="22">
        <v>40</v>
      </c>
      <c r="D45" s="13"/>
      <c r="E45" s="21"/>
      <c r="F45" s="13"/>
      <c r="G45" s="11">
        <f t="shared" si="0"/>
        <v>1.6</v>
      </c>
    </row>
    <row r="46" ht="17" spans="1:7">
      <c r="A46" s="7">
        <v>44</v>
      </c>
      <c r="B46" s="7" t="s">
        <v>18</v>
      </c>
      <c r="C46" s="7">
        <v>40</v>
      </c>
      <c r="D46" s="7"/>
      <c r="E46" s="7"/>
      <c r="F46" s="7"/>
      <c r="G46" s="11">
        <v>1.6</v>
      </c>
    </row>
    <row r="47" ht="17" spans="1:7">
      <c r="A47" s="7">
        <v>45</v>
      </c>
      <c r="B47" s="7" t="s">
        <v>693</v>
      </c>
      <c r="C47" s="7">
        <v>40</v>
      </c>
      <c r="D47" s="7"/>
      <c r="E47" s="7"/>
      <c r="F47" s="7"/>
      <c r="G47" s="11">
        <v>1.6</v>
      </c>
    </row>
    <row r="48" spans="1:7">
      <c r="A48" s="7"/>
      <c r="B48" s="7"/>
      <c r="C48" s="7"/>
      <c r="D48" s="7"/>
      <c r="E48" s="7"/>
      <c r="F48" s="7"/>
      <c r="G48" s="23">
        <f>SUM(G3:G47)</f>
        <v>506.000000000001</v>
      </c>
    </row>
  </sheetData>
  <mergeCells count="1">
    <mergeCell ref="A1:G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7月新媒体串单</vt:lpstr>
      <vt:lpstr>7月新媒体绩效</vt:lpstr>
      <vt:lpstr>7月微刊明细</vt:lpstr>
      <vt:lpstr>7月公分统计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zhangxiaochi</dc:creator>
  <cp:lastModifiedBy>Katrina</cp:lastModifiedBy>
  <dcterms:created xsi:type="dcterms:W3CDTF">2026-08-12T16:19:03Z</dcterms:created>
  <dcterms:modified xsi:type="dcterms:W3CDTF">2026-08-12T16:32:53Z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A27F1747EC22EA88772C7C6A44398BAE_41</vt:lpwstr>
  </property>
  <property fmtid="{D5CDD505-2E9C-101B-9397-08002B2CF9AE}" pid="3" name="KSOProductBuildVer">
    <vt:lpwstr>2052-12.1.26055.26055</vt:lpwstr>
  </property>
  <property fmtid="{D5CDD505-2E9C-101B-9397-08002B2CF9AE}" pid="4" name="CalculationRule">
    <vt:i4>1</vt:i4>
  </property>
</Properties>
</file>